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ago\tesis-pfc\Resultados SLR\"/>
    </mc:Choice>
  </mc:AlternateContent>
  <xr:revisionPtr revIDLastSave="0" documentId="8_{7FA88810-4731-4834-80EA-4D3AB318277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esumen D1" sheetId="1" r:id="rId1"/>
    <sheet name="Datos por animal" sheetId="2" r:id="rId2"/>
    <sheet name="Prism" sheetId="3" r:id="rId3"/>
  </sheets>
  <definedNames>
    <definedName name="_xlnm._FilterDatabase" localSheetId="1" hidden="1">'Datos por animal'!$A$4:$S$121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5" i="3" l="1"/>
  <c r="E85" i="3"/>
  <c r="D85" i="3"/>
  <c r="C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1" i="3"/>
  <c r="E71" i="3"/>
  <c r="D71" i="3"/>
  <c r="C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R121" i="2"/>
  <c r="O121" i="2"/>
  <c r="R120" i="2"/>
  <c r="O120" i="2"/>
  <c r="R119" i="2"/>
  <c r="O119" i="2"/>
  <c r="R118" i="2"/>
  <c r="O118" i="2"/>
  <c r="R117" i="2"/>
  <c r="O117" i="2"/>
  <c r="R116" i="2"/>
  <c r="O116" i="2"/>
  <c r="R115" i="2"/>
  <c r="O115" i="2"/>
  <c r="R114" i="2"/>
  <c r="O114" i="2"/>
  <c r="R113" i="2"/>
  <c r="O113" i="2"/>
  <c r="R112" i="2"/>
  <c r="P112" i="2"/>
  <c r="F48" i="3" s="1"/>
  <c r="O112" i="2"/>
  <c r="F20" i="3" s="1"/>
  <c r="R111" i="2"/>
  <c r="O111" i="2"/>
  <c r="R110" i="2"/>
  <c r="O110" i="2"/>
  <c r="R109" i="2"/>
  <c r="O109" i="2"/>
  <c r="R108" i="2"/>
  <c r="O108" i="2"/>
  <c r="R107" i="2"/>
  <c r="O107" i="2"/>
  <c r="R106" i="2"/>
  <c r="O106" i="2"/>
  <c r="R105" i="2"/>
  <c r="O105" i="2"/>
  <c r="R104" i="2"/>
  <c r="O104" i="2"/>
  <c r="R103" i="2"/>
  <c r="O103" i="2"/>
  <c r="R102" i="2"/>
  <c r="O102" i="2"/>
  <c r="R101" i="2"/>
  <c r="O101" i="2"/>
  <c r="R100" i="2"/>
  <c r="O100" i="2"/>
  <c r="R99" i="2"/>
  <c r="O99" i="2"/>
  <c r="R98" i="2"/>
  <c r="O98" i="2"/>
  <c r="R97" i="2"/>
  <c r="O97" i="2"/>
  <c r="R96" i="2"/>
  <c r="O96" i="2"/>
  <c r="R95" i="2"/>
  <c r="O95" i="2"/>
  <c r="R94" i="2"/>
  <c r="O94" i="2"/>
  <c r="R93" i="2"/>
  <c r="O93" i="2"/>
  <c r="R92" i="2"/>
  <c r="O92" i="2"/>
  <c r="R91" i="2"/>
  <c r="O91" i="2"/>
  <c r="R90" i="2"/>
  <c r="O90" i="2"/>
  <c r="R89" i="2"/>
  <c r="O89" i="2"/>
  <c r="R88" i="2"/>
  <c r="O88" i="2"/>
  <c r="R87" i="2"/>
  <c r="O87" i="2"/>
  <c r="R86" i="2"/>
  <c r="O86" i="2"/>
  <c r="R85" i="2"/>
  <c r="O85" i="2"/>
  <c r="R84" i="2"/>
  <c r="O84" i="2"/>
  <c r="R83" i="2"/>
  <c r="O83" i="2"/>
  <c r="R82" i="2"/>
  <c r="O82" i="2"/>
  <c r="R81" i="2"/>
  <c r="O81" i="2"/>
  <c r="R80" i="2"/>
  <c r="O80" i="2"/>
  <c r="R79" i="2"/>
  <c r="O79" i="2"/>
  <c r="R78" i="2"/>
  <c r="O78" i="2"/>
  <c r="R77" i="2"/>
  <c r="O77" i="2"/>
  <c r="R76" i="2"/>
  <c r="O76" i="2"/>
  <c r="R75" i="2"/>
  <c r="O75" i="2"/>
  <c r="R74" i="2"/>
  <c r="O74" i="2"/>
  <c r="R73" i="2"/>
  <c r="O73" i="2"/>
  <c r="R72" i="2"/>
  <c r="P72" i="2"/>
  <c r="D48" i="3" s="1"/>
  <c r="O72" i="2"/>
  <c r="D20" i="3" s="1"/>
  <c r="R71" i="2"/>
  <c r="O71" i="2"/>
  <c r="R70" i="2"/>
  <c r="O70" i="2"/>
  <c r="R69" i="2"/>
  <c r="P69" i="2"/>
  <c r="D41" i="3" s="1"/>
  <c r="O69" i="2"/>
  <c r="D13" i="3" s="1"/>
  <c r="R68" i="2"/>
  <c r="O68" i="2"/>
  <c r="R67" i="2"/>
  <c r="O67" i="2"/>
  <c r="R66" i="2"/>
  <c r="O66" i="2"/>
  <c r="R65" i="2"/>
  <c r="O65" i="2"/>
  <c r="R64" i="2"/>
  <c r="O64" i="2"/>
  <c r="R63" i="2"/>
  <c r="O63" i="2"/>
  <c r="R62" i="2"/>
  <c r="O62" i="2"/>
  <c r="R61" i="2"/>
  <c r="O61" i="2"/>
  <c r="R60" i="2"/>
  <c r="O60" i="2"/>
  <c r="R59" i="2"/>
  <c r="O59" i="2"/>
  <c r="R58" i="2"/>
  <c r="O58" i="2"/>
  <c r="R57" i="2"/>
  <c r="O57" i="2"/>
  <c r="R56" i="2"/>
  <c r="O56" i="2"/>
  <c r="R55" i="2"/>
  <c r="O55" i="2"/>
  <c r="R54" i="2"/>
  <c r="E33" i="1" s="1"/>
  <c r="O54" i="2"/>
  <c r="R53" i="2"/>
  <c r="O53" i="2"/>
  <c r="R52" i="2"/>
  <c r="O52" i="2"/>
  <c r="R51" i="2"/>
  <c r="O51" i="2"/>
  <c r="R50" i="2"/>
  <c r="O50" i="2"/>
  <c r="R49" i="2"/>
  <c r="O49" i="2"/>
  <c r="R48" i="2"/>
  <c r="O48" i="2"/>
  <c r="R47" i="2"/>
  <c r="O47" i="2"/>
  <c r="R46" i="2"/>
  <c r="O46" i="2"/>
  <c r="R45" i="2"/>
  <c r="O45" i="2"/>
  <c r="R44" i="2"/>
  <c r="O44" i="2"/>
  <c r="R43" i="2"/>
  <c r="O43" i="2"/>
  <c r="R42" i="2"/>
  <c r="O42" i="2"/>
  <c r="R41" i="2"/>
  <c r="O41" i="2"/>
  <c r="R40" i="2"/>
  <c r="O40" i="2"/>
  <c r="R39" i="2"/>
  <c r="O39" i="2"/>
  <c r="R38" i="2"/>
  <c r="O38" i="2"/>
  <c r="R37" i="2"/>
  <c r="O37" i="2"/>
  <c r="R36" i="2"/>
  <c r="O36" i="2"/>
  <c r="R35" i="2"/>
  <c r="O35" i="2"/>
  <c r="R34" i="2"/>
  <c r="O34" i="2"/>
  <c r="R33" i="2"/>
  <c r="O33" i="2"/>
  <c r="R32" i="2"/>
  <c r="O32" i="2"/>
  <c r="R31" i="2"/>
  <c r="O31" i="2"/>
  <c r="R30" i="2"/>
  <c r="O30" i="2"/>
  <c r="R29" i="2"/>
  <c r="O29" i="2"/>
  <c r="R28" i="2"/>
  <c r="O28" i="2"/>
  <c r="R27" i="2"/>
  <c r="O27" i="2"/>
  <c r="R26" i="2"/>
  <c r="O26" i="2"/>
  <c r="R25" i="2"/>
  <c r="O25" i="2"/>
  <c r="R24" i="2"/>
  <c r="O24" i="2"/>
  <c r="R23" i="2"/>
  <c r="O23" i="2"/>
  <c r="R22" i="2"/>
  <c r="P22" i="2"/>
  <c r="A56" i="3" s="1"/>
  <c r="O22" i="2"/>
  <c r="A28" i="3" s="1"/>
  <c r="R21" i="2"/>
  <c r="O21" i="2"/>
  <c r="R20" i="2"/>
  <c r="O20" i="2"/>
  <c r="R19" i="2"/>
  <c r="O19" i="2"/>
  <c r="R18" i="2"/>
  <c r="O18" i="2"/>
  <c r="R17" i="2"/>
  <c r="O17" i="2"/>
  <c r="R16" i="2"/>
  <c r="O16" i="2"/>
  <c r="R15" i="2"/>
  <c r="O15" i="2"/>
  <c r="R14" i="2"/>
  <c r="O14" i="2"/>
  <c r="R13" i="2"/>
  <c r="O13" i="2"/>
  <c r="R12" i="2"/>
  <c r="O12" i="2"/>
  <c r="R11" i="2"/>
  <c r="O11" i="2"/>
  <c r="R10" i="2"/>
  <c r="O10" i="2"/>
  <c r="R9" i="2"/>
  <c r="O9" i="2"/>
  <c r="R8" i="2"/>
  <c r="O8" i="2"/>
  <c r="R7" i="2"/>
  <c r="O7" i="2"/>
  <c r="R6" i="2"/>
  <c r="O6" i="2"/>
  <c r="R5" i="2"/>
  <c r="O5" i="2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D33" i="1"/>
  <c r="C33" i="1"/>
  <c r="E32" i="1"/>
  <c r="D32" i="1"/>
  <c r="C32" i="1"/>
  <c r="E31" i="1"/>
  <c r="D31" i="1"/>
  <c r="C31" i="1"/>
  <c r="E30" i="1"/>
  <c r="D30" i="1"/>
  <c r="C30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F16" i="1"/>
  <c r="E16" i="1"/>
  <c r="C16" i="1"/>
  <c r="B16" i="1"/>
  <c r="F15" i="1"/>
  <c r="E15" i="1"/>
  <c r="C15" i="1"/>
  <c r="B15" i="1"/>
  <c r="F14" i="1"/>
  <c r="E14" i="1"/>
  <c r="C14" i="1"/>
  <c r="B14" i="1"/>
  <c r="F13" i="1"/>
  <c r="E13" i="1"/>
  <c r="C13" i="1"/>
  <c r="B13" i="1"/>
  <c r="F12" i="1"/>
  <c r="E12" i="1"/>
  <c r="C12" i="1"/>
  <c r="B12" i="1"/>
  <c r="F11" i="1"/>
  <c r="E11" i="1"/>
  <c r="C11" i="1"/>
  <c r="B11" i="1"/>
  <c r="F29" i="3" l="1"/>
  <c r="P121" i="2"/>
  <c r="F57" i="3" s="1"/>
  <c r="F28" i="3"/>
  <c r="P120" i="2"/>
  <c r="F56" i="3" s="1"/>
  <c r="F27" i="3"/>
  <c r="P119" i="2"/>
  <c r="F55" i="3" s="1"/>
  <c r="F26" i="3"/>
  <c r="P118" i="2"/>
  <c r="F54" i="3" s="1"/>
  <c r="P117" i="2"/>
  <c r="F53" i="3" s="1"/>
  <c r="F25" i="3"/>
  <c r="P116" i="2"/>
  <c r="F52" i="3" s="1"/>
  <c r="F24" i="3"/>
  <c r="P115" i="2"/>
  <c r="F51" i="3" s="1"/>
  <c r="F23" i="3"/>
  <c r="P114" i="2"/>
  <c r="F50" i="3" s="1"/>
  <c r="F22" i="3"/>
  <c r="P113" i="2"/>
  <c r="F21" i="3"/>
  <c r="P111" i="2"/>
  <c r="F43" i="3" s="1"/>
  <c r="F15" i="3"/>
  <c r="F14" i="3"/>
  <c r="P110" i="2"/>
  <c r="F42" i="3" s="1"/>
  <c r="P109" i="2"/>
  <c r="F41" i="3" s="1"/>
  <c r="F13" i="3"/>
  <c r="F12" i="3"/>
  <c r="P108" i="2"/>
  <c r="F40" i="3" s="1"/>
  <c r="P107" i="2"/>
  <c r="F39" i="3" s="1"/>
  <c r="F11" i="3"/>
  <c r="F10" i="3"/>
  <c r="P106" i="2"/>
  <c r="F38" i="3" s="1"/>
  <c r="F9" i="3"/>
  <c r="P105" i="2"/>
  <c r="F37" i="3" s="1"/>
  <c r="F8" i="3"/>
  <c r="P104" i="2"/>
  <c r="F36" i="3" s="1"/>
  <c r="F7" i="3"/>
  <c r="P103" i="2"/>
  <c r="F35" i="3" s="1"/>
  <c r="F6" i="3"/>
  <c r="P102" i="2"/>
  <c r="E29" i="3"/>
  <c r="P101" i="2"/>
  <c r="E57" i="3" s="1"/>
  <c r="E28" i="3"/>
  <c r="P100" i="2"/>
  <c r="E56" i="3" s="1"/>
  <c r="E27" i="3"/>
  <c r="P99" i="2"/>
  <c r="E55" i="3" s="1"/>
  <c r="E26" i="3"/>
  <c r="P98" i="2"/>
  <c r="E54" i="3" s="1"/>
  <c r="E25" i="3"/>
  <c r="P97" i="2"/>
  <c r="E53" i="3" s="1"/>
  <c r="E24" i="3"/>
  <c r="P96" i="2"/>
  <c r="E52" i="3" s="1"/>
  <c r="P95" i="2"/>
  <c r="E51" i="3" s="1"/>
  <c r="E23" i="3"/>
  <c r="E22" i="3"/>
  <c r="P94" i="2"/>
  <c r="E50" i="3" s="1"/>
  <c r="P93" i="2"/>
  <c r="E49" i="3" s="1"/>
  <c r="E21" i="3"/>
  <c r="E20" i="3"/>
  <c r="P92" i="2"/>
  <c r="E15" i="3"/>
  <c r="P91" i="2"/>
  <c r="E43" i="3" s="1"/>
  <c r="P90" i="2"/>
  <c r="E42" i="3" s="1"/>
  <c r="E14" i="3"/>
  <c r="E13" i="3"/>
  <c r="P89" i="2"/>
  <c r="E41" i="3" s="1"/>
  <c r="P88" i="2"/>
  <c r="E40" i="3" s="1"/>
  <c r="E12" i="3"/>
  <c r="P87" i="2"/>
  <c r="E39" i="3" s="1"/>
  <c r="E11" i="3"/>
  <c r="E10" i="3"/>
  <c r="P86" i="2"/>
  <c r="E38" i="3" s="1"/>
  <c r="E9" i="3"/>
  <c r="P85" i="2"/>
  <c r="E37" i="3" s="1"/>
  <c r="E8" i="3"/>
  <c r="P84" i="2"/>
  <c r="E36" i="3" s="1"/>
  <c r="E7" i="3"/>
  <c r="P83" i="2"/>
  <c r="E35" i="3" s="1"/>
  <c r="P82" i="2"/>
  <c r="E6" i="3"/>
  <c r="D29" i="3"/>
  <c r="P81" i="2"/>
  <c r="D57" i="3" s="1"/>
  <c r="D28" i="3"/>
  <c r="P80" i="2"/>
  <c r="D56" i="3" s="1"/>
  <c r="P79" i="2"/>
  <c r="D55" i="3" s="1"/>
  <c r="D27" i="3"/>
  <c r="D26" i="3"/>
  <c r="P78" i="2"/>
  <c r="D54" i="3" s="1"/>
  <c r="P77" i="2"/>
  <c r="D53" i="3" s="1"/>
  <c r="D25" i="3"/>
  <c r="D24" i="3"/>
  <c r="P76" i="2"/>
  <c r="D52" i="3" s="1"/>
  <c r="P75" i="2"/>
  <c r="D51" i="3" s="1"/>
  <c r="D23" i="3"/>
  <c r="P74" i="2"/>
  <c r="D50" i="3" s="1"/>
  <c r="D22" i="3"/>
  <c r="D21" i="3"/>
  <c r="P73" i="2"/>
  <c r="P71" i="2"/>
  <c r="D43" i="3" s="1"/>
  <c r="D15" i="3"/>
  <c r="P70" i="2"/>
  <c r="D42" i="3" s="1"/>
  <c r="D14" i="3"/>
  <c r="P68" i="2"/>
  <c r="D40" i="3" s="1"/>
  <c r="D12" i="3"/>
  <c r="P67" i="2"/>
  <c r="D39" i="3" s="1"/>
  <c r="D11" i="3"/>
  <c r="D10" i="3"/>
  <c r="P66" i="2"/>
  <c r="D38" i="3" s="1"/>
  <c r="D9" i="3"/>
  <c r="P65" i="2"/>
  <c r="D37" i="3" s="1"/>
  <c r="P64" i="2"/>
  <c r="D36" i="3" s="1"/>
  <c r="D8" i="3"/>
  <c r="D7" i="3"/>
  <c r="P63" i="2"/>
  <c r="D35" i="3" s="1"/>
  <c r="P62" i="2"/>
  <c r="D6" i="3"/>
  <c r="P61" i="2"/>
  <c r="C57" i="3" s="1"/>
  <c r="C29" i="3"/>
  <c r="P60" i="2"/>
  <c r="C56" i="3" s="1"/>
  <c r="C28" i="3"/>
  <c r="C27" i="3"/>
  <c r="P59" i="2"/>
  <c r="C55" i="3" s="1"/>
  <c r="P58" i="2"/>
  <c r="C54" i="3" s="1"/>
  <c r="C26" i="3"/>
  <c r="C25" i="3"/>
  <c r="P57" i="2"/>
  <c r="C53" i="3" s="1"/>
  <c r="P56" i="2"/>
  <c r="C52" i="3" s="1"/>
  <c r="C24" i="3"/>
  <c r="C23" i="3"/>
  <c r="P55" i="2"/>
  <c r="C51" i="3" s="1"/>
  <c r="C22" i="3"/>
  <c r="P54" i="2"/>
  <c r="C50" i="3" s="1"/>
  <c r="C21" i="3"/>
  <c r="P53" i="2"/>
  <c r="C49" i="3" s="1"/>
  <c r="P52" i="2"/>
  <c r="C20" i="3"/>
  <c r="P51" i="2"/>
  <c r="C43" i="3" s="1"/>
  <c r="C15" i="3"/>
  <c r="C14" i="3"/>
  <c r="P50" i="2"/>
  <c r="C42" i="3" s="1"/>
  <c r="P49" i="2"/>
  <c r="C41" i="3" s="1"/>
  <c r="C13" i="3"/>
  <c r="P48" i="2"/>
  <c r="C40" i="3" s="1"/>
  <c r="C12" i="3"/>
  <c r="C11" i="3"/>
  <c r="P47" i="2"/>
  <c r="C39" i="3" s="1"/>
  <c r="C10" i="3"/>
  <c r="P46" i="2"/>
  <c r="C38" i="3" s="1"/>
  <c r="P45" i="2"/>
  <c r="C37" i="3" s="1"/>
  <c r="C9" i="3"/>
  <c r="P44" i="2"/>
  <c r="C36" i="3" s="1"/>
  <c r="C8" i="3"/>
  <c r="P43" i="2"/>
  <c r="C35" i="3" s="1"/>
  <c r="C7" i="3"/>
  <c r="C6" i="3"/>
  <c r="P42" i="2"/>
  <c r="B28" i="3"/>
  <c r="P41" i="2"/>
  <c r="B56" i="3" s="1"/>
  <c r="B27" i="3"/>
  <c r="P40" i="2"/>
  <c r="B55" i="3" s="1"/>
  <c r="B26" i="3"/>
  <c r="P39" i="2"/>
  <c r="B54" i="3" s="1"/>
  <c r="P38" i="2"/>
  <c r="B53" i="3" s="1"/>
  <c r="B25" i="3"/>
  <c r="P37" i="2"/>
  <c r="B52" i="3" s="1"/>
  <c r="B24" i="3"/>
  <c r="B23" i="3"/>
  <c r="P36" i="2"/>
  <c r="B51" i="3" s="1"/>
  <c r="B22" i="3"/>
  <c r="P35" i="2"/>
  <c r="B50" i="3" s="1"/>
  <c r="B21" i="3"/>
  <c r="P34" i="2"/>
  <c r="B49" i="3" s="1"/>
  <c r="B20" i="3"/>
  <c r="P33" i="2"/>
  <c r="B14" i="3"/>
  <c r="P32" i="2"/>
  <c r="B42" i="3" s="1"/>
  <c r="P31" i="2"/>
  <c r="B41" i="3" s="1"/>
  <c r="B13" i="3"/>
  <c r="P30" i="2"/>
  <c r="B40" i="3" s="1"/>
  <c r="B12" i="3"/>
  <c r="P29" i="2"/>
  <c r="B39" i="3" s="1"/>
  <c r="B11" i="3"/>
  <c r="P28" i="2"/>
  <c r="B38" i="3" s="1"/>
  <c r="B10" i="3"/>
  <c r="P27" i="2"/>
  <c r="B37" i="3" s="1"/>
  <c r="B9" i="3"/>
  <c r="P26" i="2"/>
  <c r="B36" i="3" s="1"/>
  <c r="B8" i="3"/>
  <c r="P25" i="2"/>
  <c r="B35" i="3" s="1"/>
  <c r="B7" i="3"/>
  <c r="P24" i="2"/>
  <c r="B6" i="3"/>
  <c r="P23" i="2"/>
  <c r="A57" i="3" s="1"/>
  <c r="A29" i="3"/>
  <c r="P21" i="2"/>
  <c r="A55" i="3" s="1"/>
  <c r="A27" i="3"/>
  <c r="P20" i="2"/>
  <c r="A54" i="3" s="1"/>
  <c r="A26" i="3"/>
  <c r="P19" i="2"/>
  <c r="A53" i="3" s="1"/>
  <c r="A25" i="3"/>
  <c r="A24" i="3"/>
  <c r="P18" i="2"/>
  <c r="A52" i="3" s="1"/>
  <c r="A23" i="3"/>
  <c r="P17" i="2"/>
  <c r="A51" i="3" s="1"/>
  <c r="A22" i="3"/>
  <c r="P16" i="2"/>
  <c r="A50" i="3" s="1"/>
  <c r="A21" i="3"/>
  <c r="P15" i="2"/>
  <c r="A49" i="3" s="1"/>
  <c r="A20" i="3"/>
  <c r="P14" i="2"/>
  <c r="A14" i="3"/>
  <c r="P13" i="2"/>
  <c r="A42" i="3" s="1"/>
  <c r="A13" i="3"/>
  <c r="P12" i="2"/>
  <c r="A41" i="3" s="1"/>
  <c r="A12" i="3"/>
  <c r="P11" i="2"/>
  <c r="A40" i="3" s="1"/>
  <c r="A11" i="3"/>
  <c r="P10" i="2"/>
  <c r="A39" i="3" s="1"/>
  <c r="A10" i="3"/>
  <c r="P9" i="2"/>
  <c r="A38" i="3" s="1"/>
  <c r="A9" i="3"/>
  <c r="P8" i="2"/>
  <c r="A37" i="3" s="1"/>
  <c r="A8" i="3"/>
  <c r="P7" i="2"/>
  <c r="A36" i="3" s="1"/>
  <c r="A7" i="3"/>
  <c r="P6" i="2"/>
  <c r="A35" i="3" s="1"/>
  <c r="A6" i="3"/>
  <c r="P5" i="2"/>
  <c r="G16" i="1" l="1"/>
  <c r="F49" i="3"/>
  <c r="D16" i="1"/>
  <c r="F34" i="3"/>
  <c r="G15" i="1"/>
  <c r="E48" i="3"/>
  <c r="D15" i="1"/>
  <c r="E34" i="3"/>
  <c r="G14" i="1"/>
  <c r="D49" i="3"/>
  <c r="D14" i="1"/>
  <c r="D34" i="3"/>
  <c r="G13" i="1"/>
  <c r="C48" i="3"/>
  <c r="D13" i="1"/>
  <c r="C34" i="3"/>
  <c r="G12" i="1"/>
  <c r="B48" i="3"/>
  <c r="B34" i="3"/>
  <c r="D12" i="1"/>
  <c r="G11" i="1"/>
  <c r="A48" i="3"/>
  <c r="A34" i="3"/>
  <c r="D11" i="1"/>
</calcChain>
</file>

<file path=xl/sharedStrings.xml><?xml version="1.0" encoding="utf-8"?>
<sst xmlns="http://schemas.openxmlformats.org/spreadsheetml/2006/main" count="1441" uniqueCount="214">
  <si>
    <t>SLR – Día 1 (muestreo): exploración, preferencia de posición y distancia recorrida por grupo</t>
  </si>
  <si>
    <t>Qué es</t>
  </si>
  <si>
    <t>Control de la fase de codificación. El día 1 hay tres objetos idénticos y ninguno es novedoso, así que no se calcula DI: se verifica que los grupos hayan explorado de forma comparable y sin preferencia previa por una posición.</t>
  </si>
  <si>
    <t>Exploración total D1</t>
  </si>
  <si>
    <t>Suma del tiempo explorando los tres objetos (s). Todas las sesiones del día 1 duran 10 min, así que es comparable entre grupos (no con el día 2, que dura 5 min y tiene 2 objetos).</t>
  </si>
  <si>
    <t>% en objeto fijo</t>
  </si>
  <si>
    <t>Tiempo en el objeto que queda en su lugar en el test (será el familiar) / exploración total. Azar = 33,3 %. Valores por encima indican que el grupo ya prefería esa posición antes del test.</t>
  </si>
  <si>
    <t>Distancia D1</t>
  </si>
  <si>
    <t>Distancia recorrida en la sesión (tracking automático de AnyMaze©), como medida de actividad locomotora. También se da por minuto para corregir las sesiones cortadas antes de los 10 min.</t>
  </si>
  <si>
    <t>n</t>
  </si>
  <si>
    <t>Animales por grupo y configuración (cada animal aparece una vez por configuración), igual que en el análisis del día 2.</t>
  </si>
  <si>
    <t>Grupo</t>
  </si>
  <si>
    <t>d-SLR (equilátero)</t>
  </si>
  <si>
    <t>s-SLR (isósceles)</t>
  </si>
  <si>
    <t>Exploración total (s)</t>
  </si>
  <si>
    <t>Juvenil – Control</t>
  </si>
  <si>
    <t>Juvenil – Sacarosa</t>
  </si>
  <si>
    <t>Juvenil – Stevia</t>
  </si>
  <si>
    <t>Adulto – Control</t>
  </si>
  <si>
    <t>Adulto – Sacarosa</t>
  </si>
  <si>
    <t>Adulto – Stevia</t>
  </si>
  <si>
    <t>Distancia recorrida D1</t>
  </si>
  <si>
    <t>Distancia (m)</t>
  </si>
  <si>
    <t>m/min</t>
  </si>
  <si>
    <t>Distancia recorrida D1 por lote / cohorte (ambas configuraciones)</t>
  </si>
  <si>
    <t>Lote / cohorte</t>
  </si>
  <si>
    <t>Edad</t>
  </si>
  <si>
    <t>n sesiones</t>
  </si>
  <si>
    <t>Sac/Stevia 2026 par 1</t>
  </si>
  <si>
    <t>Juvenil</t>
  </si>
  <si>
    <t>Sac/Stevia 2026 par 2</t>
  </si>
  <si>
    <t>Control oct 2025</t>
  </si>
  <si>
    <t>Ctrl/Stevia jun 2025</t>
  </si>
  <si>
    <t>Sacarosa jun 2025</t>
  </si>
  <si>
    <t>Stevia 2024</t>
  </si>
  <si>
    <t>Adulto</t>
  </si>
  <si>
    <t>Control dic 2025</t>
  </si>
  <si>
    <t>Ctrl/Sac mayo 2025</t>
  </si>
  <si>
    <t>Sac/Stevia 2026</t>
  </si>
  <si>
    <t>Valores: media del grupo (sin SEM ni estadística). Datos individuales en "Datos por animal"; columnas listas para pegar en Prism en la pestaña "Prism".</t>
  </si>
  <si>
    <t>Asignación de grupos: Juvenil – Control incluye los lotes de junio y octubre 2025; Adulto – Control, mayo y diciembre 2025; Sacarosa y Stevia incluyen las cohortes 2024/2025 y 2026.</t>
  </si>
  <si>
    <t>Objeto fijo asumido (no anotado en la hoja original): Zona 2 en la tanda equilátero del 08/05/2025; Zona 1 en equilátero de adultos 2026 y del par 1 juvenil 2026. A confirmar.</t>
  </si>
  <si>
    <t>Hay 8 sesiones de menos de ~10 min (cortes anticipados del registro, de 402 a 589 s) y 5 sin dato de duración (control juvenil oct 2025, vasos), marcadas en "Datos por animal"; no se excluyeron.</t>
  </si>
  <si>
    <t>Excluido 1 registro duplicado: "con 1 raya" (repetición del muestreo de con 1, adulto mayo 2025).</t>
  </si>
  <si>
    <t>Distancia sin dato: con 1 (adulto mayo 2025, falló el tracking) y lote control juvenil oct 2025 con vasos (no registrada); el n de distancia es menor en esos grupos.</t>
  </si>
  <si>
    <t>Ojo: las cohortes 2026 recorren bastante más que las de 2025 (ver tabla por lote) y los controles son solo de 2025, así que una diferencia de distancia entre tratamientos puede reflejar la cohorte y no el tratamiento.</t>
  </si>
  <si>
    <t>SLR – Día 1 (muestreo, 3 objetos idénticos) – datos por animal</t>
  </si>
  <si>
    <t>Una fila por animal y configuración. Columnas L–N: tiempo de exploración manual (time pressed de AnyMaze©) de cada objeto. Celdas amarillas = fórmulas. Sin exclusiones por umbral; valores tal cual del registro.</t>
  </si>
  <si>
    <t>Tratamiento</t>
  </si>
  <si>
    <t>Configuración</t>
  </si>
  <si>
    <t>Objetos</t>
  </si>
  <si>
    <t>Fecha D1</t>
  </si>
  <si>
    <t>Pestaña de origen</t>
  </si>
  <si>
    <t>Animal (etiqueta original)</t>
  </si>
  <si>
    <t>Duración sesión (s)</t>
  </si>
  <si>
    <t>Zona del objeto fijo</t>
  </si>
  <si>
    <t>t objeto fijo (s)
(queda en el test)</t>
  </si>
  <si>
    <t>t objeto desplazado 1 (s)</t>
  </si>
  <si>
    <t>t objeto desplazado 2 (s)</t>
  </si>
  <si>
    <t>Exploración total D1 (s)</t>
  </si>
  <si>
    <t>% tiempo en objeto fijo</t>
  </si>
  <si>
    <t>Distancia recorrida D1 (m)</t>
  </si>
  <si>
    <t>Distancia por minuto (m/min)</t>
  </si>
  <si>
    <t>Zonas de los objetos desplazados</t>
  </si>
  <si>
    <t>Control</t>
  </si>
  <si>
    <t>—</t>
  </si>
  <si>
    <t>05/06/2025</t>
  </si>
  <si>
    <t>250605 D1 Ctrl+Stevia</t>
  </si>
  <si>
    <t>CON 1</t>
  </si>
  <si>
    <t>Zona 1</t>
  </si>
  <si>
    <t>Zona 2 / Zona 3</t>
  </si>
  <si>
    <t>CON 2</t>
  </si>
  <si>
    <t>CON 3</t>
  </si>
  <si>
    <t>CON 4</t>
  </si>
  <si>
    <t>Vasos</t>
  </si>
  <si>
    <t>30/10/2025</t>
  </si>
  <si>
    <t>251030 D1 Ctrl-oct vasos</t>
  </si>
  <si>
    <t>1</t>
  </si>
  <si>
    <t>sin dato</t>
  </si>
  <si>
    <t>2</t>
  </si>
  <si>
    <t>3</t>
  </si>
  <si>
    <t>Ranas</t>
  </si>
  <si>
    <t>03/11/2025</t>
  </si>
  <si>
    <t>251103 D1 Ctrl-oct ranas</t>
  </si>
  <si>
    <t>4</t>
  </si>
  <si>
    <t>Zona 2EQ / Zona 3EQ</t>
  </si>
  <si>
    <t>5</t>
  </si>
  <si>
    <t>con 5</t>
  </si>
  <si>
    <t>con 6</t>
  </si>
  <si>
    <t>con 7</t>
  </si>
  <si>
    <t>con 8</t>
  </si>
  <si>
    <t>con 9</t>
  </si>
  <si>
    <t>Zona 2B / Zona 3B</t>
  </si>
  <si>
    <t>Sacarosa</t>
  </si>
  <si>
    <t>26/06/2025</t>
  </si>
  <si>
    <t>250626 D1 Sacarosa</t>
  </si>
  <si>
    <t>Zona 2</t>
  </si>
  <si>
    <t>Zona 1 / Zona 3</t>
  </si>
  <si>
    <t>19/07/2026</t>
  </si>
  <si>
    <t>260719 D1 Par1 vasos</t>
  </si>
  <si>
    <t>JUV SAC 1</t>
  </si>
  <si>
    <t>ZONA 1</t>
  </si>
  <si>
    <t>ZONA 2 / ZONA 3</t>
  </si>
  <si>
    <t>JUV SAC 2</t>
  </si>
  <si>
    <t>JUV SAC 3</t>
  </si>
  <si>
    <t>23/07/2026</t>
  </si>
  <si>
    <t>260723 D1 Par2 ranas</t>
  </si>
  <si>
    <t>sac 4</t>
  </si>
  <si>
    <t>Zona 3</t>
  </si>
  <si>
    <t>Zona 2 / Zona 1</t>
  </si>
  <si>
    <t>sac 5</t>
  </si>
  <si>
    <t>6</t>
  </si>
  <si>
    <t>7</t>
  </si>
  <si>
    <t>8</t>
  </si>
  <si>
    <t>sac 1</t>
  </si>
  <si>
    <t>sac 2</t>
  </si>
  <si>
    <t>sac 3</t>
  </si>
  <si>
    <t>JUV SAC 4</t>
  </si>
  <si>
    <t>JUV SAC 5</t>
  </si>
  <si>
    <t>Stevia</t>
  </si>
  <si>
    <t>ste 1</t>
  </si>
  <si>
    <t>ste 2</t>
  </si>
  <si>
    <t>ste 3</t>
  </si>
  <si>
    <t>ste 4</t>
  </si>
  <si>
    <t>ste 5</t>
  </si>
  <si>
    <t>JUV STEV 1</t>
  </si>
  <si>
    <t>JUV STEV 2</t>
  </si>
  <si>
    <t>JUV STEV 3</t>
  </si>
  <si>
    <t>stev 4</t>
  </si>
  <si>
    <t>stev 5</t>
  </si>
  <si>
    <t>ste 6</t>
  </si>
  <si>
    <t>ste 7</t>
  </si>
  <si>
    <t>ste 8</t>
  </si>
  <si>
    <t>ste 9</t>
  </si>
  <si>
    <t>ste 10</t>
  </si>
  <si>
    <t>stev 1</t>
  </si>
  <si>
    <t>stev 2</t>
  </si>
  <si>
    <t>stev 3</t>
  </si>
  <si>
    <t>JUV STEV 4</t>
  </si>
  <si>
    <t>JUV STEV 5</t>
  </si>
  <si>
    <t>08/05/2025</t>
  </si>
  <si>
    <t>250508 D1 CtrlSac equil</t>
  </si>
  <si>
    <t>con 1</t>
  </si>
  <si>
    <t>ZONA 2</t>
  </si>
  <si>
    <t>ZONA 1 / ZONA 3</t>
  </si>
  <si>
    <t>con 2</t>
  </si>
  <si>
    <t>con 3</t>
  </si>
  <si>
    <t>con 4</t>
  </si>
  <si>
    <t>18/12/2025</t>
  </si>
  <si>
    <t>251218 D1 Ctrl-dic vasos</t>
  </si>
  <si>
    <t>Zona 1 / Zona 2</t>
  </si>
  <si>
    <t>22/12/2025</t>
  </si>
  <si>
    <t>251222 D1 Ctrl-dic ranas</t>
  </si>
  <si>
    <t>Z3</t>
  </si>
  <si>
    <t>Z1a / Z2a</t>
  </si>
  <si>
    <t>250508 D1 CtrlSac isoc</t>
  </si>
  <si>
    <t>con nada</t>
  </si>
  <si>
    <t>Z1 / Z2</t>
  </si>
  <si>
    <t>Zona 1a / Zona 2a</t>
  </si>
  <si>
    <t>sac1</t>
  </si>
  <si>
    <t>sac2</t>
  </si>
  <si>
    <t>06/08/2026</t>
  </si>
  <si>
    <t>260806 D1 SacStev vasos</t>
  </si>
  <si>
    <t>SAC 1</t>
  </si>
  <si>
    <t>SAC 2</t>
  </si>
  <si>
    <t>SAC 3</t>
  </si>
  <si>
    <t>10/08/2026</t>
  </si>
  <si>
    <t>260810 D1 SacStev ranas</t>
  </si>
  <si>
    <t>sac 6</t>
  </si>
  <si>
    <t>sac 7</t>
  </si>
  <si>
    <t>sac8</t>
  </si>
  <si>
    <t>sac 9</t>
  </si>
  <si>
    <t>sac nada</t>
  </si>
  <si>
    <t>SAC 4</t>
  </si>
  <si>
    <t>SAC 5</t>
  </si>
  <si>
    <t>25/04/2024</t>
  </si>
  <si>
    <t>240425 D1 Stevia</t>
  </si>
  <si>
    <t>#1</t>
  </si>
  <si>
    <t>Obj 2</t>
  </si>
  <si>
    <t>Obj 1 / Obj 3</t>
  </si>
  <si>
    <t>#2</t>
  </si>
  <si>
    <t>#3</t>
  </si>
  <si>
    <t>#4</t>
  </si>
  <si>
    <t>#5</t>
  </si>
  <si>
    <t>STEV 1</t>
  </si>
  <si>
    <t>STEV 2</t>
  </si>
  <si>
    <t>STEV 3</t>
  </si>
  <si>
    <t>stevia 4</t>
  </si>
  <si>
    <t>stevia 5</t>
  </si>
  <si>
    <t>#6</t>
  </si>
  <si>
    <t>OBJETO 2 isoceles</t>
  </si>
  <si>
    <t>OBJETO 1 isoceles / OBJETO 3 isoceles</t>
  </si>
  <si>
    <t>#7</t>
  </si>
  <si>
    <t>#8</t>
  </si>
  <si>
    <t>#9</t>
  </si>
  <si>
    <t>#10</t>
  </si>
  <si>
    <t>stevia 1</t>
  </si>
  <si>
    <t>stevia 2</t>
  </si>
  <si>
    <t>stevia 3</t>
  </si>
  <si>
    <t>STEV 4</t>
  </si>
  <si>
    <t>STEV 5</t>
  </si>
  <si>
    <t>Exploración total D1 = suma de los tres objetos. % en objeto fijo = t objeto fijo / exploración total; azar = 33,3 % (3 objetos idénticos).</t>
  </si>
  <si>
    <t>Duración en naranja = sesión de menos de 10 min (corte anticipado del registro); la exploración total de esos animales puede estar subestimada. Lote control oct 2025 (vasos): sin dato de duración en el original.</t>
  </si>
  <si>
    <t>Distancia: tracking automático de AnyMaze©. "sin dato" = con 1 (adulto mayo 2025; falló el tracking, el original registra 0 m) y lote control juvenil oct 2025 con vasos (sin distancia en el original). sac1 (adulto mayo 2025) en naranja: tracking dudoso (12 cruces de línea contra ~250-490 del resto), se dejó el valor.</t>
  </si>
  <si>
    <t>Distancia por minuto = distancia / (duración / 60); útil para las sesiones cortadas antes de los 10 min.</t>
  </si>
  <si>
    <t>Excluido: "con 1 raya" (pestaña 250508 D1 CtrlSac isoc) = repetición del muestreo de con 1; se usa el registro de con 1 de la tanda equilátero, que es su configuración en el test.</t>
  </si>
  <si>
    <t>Valores individuales del día 1 por grupo (columnas), listos para copiar a Prism</t>
  </si>
  <si>
    <t>Cada celda está vinculada a "Datos por animal". Seis bloques: exploración total, % en objeto fijo y distancia recorrida, en d-SLR y en s-SLR. Celdas vacías = sin dato.</t>
  </si>
  <si>
    <t>Exploración total D1 (s) – d-SLR (equilátero)</t>
  </si>
  <si>
    <t>Exploración total D1 (s) – s-SLR (isósceles)</t>
  </si>
  <si>
    <t>% tiempo en objeto fijo (azar 33,3 %) – d-SLR (equilátero)</t>
  </si>
  <si>
    <t>% tiempo en objeto fijo (azar 33,3 %) – s-SLR (isósceles)</t>
  </si>
  <si>
    <t>Distancia recorrida D1 (m) – d-SLR (equilátero)</t>
  </si>
  <si>
    <t>Distancia recorrida D1 (m) – s-SLR (isósceles)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</si>
</sst>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1F4E9E"/>
      <name val="Arial"/>
      <charset val="1"/>
    </font>
    <font>
      <b/>
      <sz val="10"/>
      <color rgb="FFC00000"/>
      <name val="Arial"/>
      <charset val="1"/>
    </font>
    <font>
      <b/>
      <sz val="10"/>
      <color rgb="FF2E7D32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0"/>
      <color rgb="FFC659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2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8" fillId="0" borderId="0" xfId="0" applyFo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zoomScaleNormal="100" workbookViewId="0"/>
  </sheetViews>
  <sheetFormatPr baseColWidth="10" defaultColWidth="8.6328125" defaultRowHeight="14.5" x14ac:dyDescent="0.35"/>
  <cols>
    <col min="1" max="1" width="22" customWidth="1"/>
    <col min="2" max="7" width="12" customWidth="1"/>
    <col min="8" max="8" width="30" customWidth="1"/>
  </cols>
  <sheetData>
    <row r="1" spans="1:8" ht="16.5" x14ac:dyDescent="0.35">
      <c r="A1" s="4" t="s">
        <v>0</v>
      </c>
    </row>
    <row r="3" spans="1:8" ht="39.75" customHeight="1" x14ac:dyDescent="0.35">
      <c r="A3" s="5" t="s">
        <v>1</v>
      </c>
      <c r="B3" s="3" t="s">
        <v>2</v>
      </c>
      <c r="C3" s="3"/>
      <c r="D3" s="3"/>
      <c r="E3" s="3"/>
      <c r="F3" s="3"/>
      <c r="G3" s="3"/>
      <c r="H3" s="3"/>
    </row>
    <row r="4" spans="1:8" ht="27" customHeight="1" x14ac:dyDescent="0.35">
      <c r="A4" s="5" t="s">
        <v>3</v>
      </c>
      <c r="B4" s="3" t="s">
        <v>4</v>
      </c>
      <c r="C4" s="3"/>
      <c r="D4" s="3"/>
      <c r="E4" s="3"/>
      <c r="F4" s="3"/>
      <c r="G4" s="3"/>
      <c r="H4" s="3"/>
    </row>
    <row r="5" spans="1:8" ht="27" customHeight="1" x14ac:dyDescent="0.35">
      <c r="A5" s="5" t="s">
        <v>5</v>
      </c>
      <c r="B5" s="3" t="s">
        <v>6</v>
      </c>
      <c r="C5" s="3"/>
      <c r="D5" s="3"/>
      <c r="E5" s="3"/>
      <c r="F5" s="3"/>
      <c r="G5" s="3"/>
      <c r="H5" s="3"/>
    </row>
    <row r="6" spans="1:8" ht="27" customHeight="1" x14ac:dyDescent="0.35">
      <c r="A6" s="5" t="s">
        <v>7</v>
      </c>
      <c r="B6" s="3" t="s">
        <v>8</v>
      </c>
      <c r="C6" s="3"/>
      <c r="D6" s="3"/>
      <c r="E6" s="3"/>
      <c r="F6" s="3"/>
      <c r="G6" s="3"/>
      <c r="H6" s="3"/>
    </row>
    <row r="7" spans="1:8" ht="27" customHeight="1" x14ac:dyDescent="0.35">
      <c r="A7" s="5" t="s">
        <v>9</v>
      </c>
      <c r="B7" s="3" t="s">
        <v>10</v>
      </c>
      <c r="C7" s="3"/>
      <c r="D7" s="3"/>
      <c r="E7" s="3"/>
      <c r="F7" s="3"/>
      <c r="G7" s="3"/>
      <c r="H7" s="3"/>
    </row>
    <row r="9" spans="1:8" ht="15" customHeight="1" x14ac:dyDescent="0.35">
      <c r="A9" s="2" t="s">
        <v>11</v>
      </c>
      <c r="B9" s="2" t="s">
        <v>12</v>
      </c>
      <c r="C9" s="2"/>
      <c r="D9" s="2"/>
      <c r="E9" s="2" t="s">
        <v>13</v>
      </c>
      <c r="F9" s="2"/>
      <c r="G9" s="2"/>
    </row>
    <row r="10" spans="1:8" ht="27.75" customHeight="1" x14ac:dyDescent="0.35">
      <c r="A10" s="2"/>
      <c r="B10" s="6" t="s">
        <v>9</v>
      </c>
      <c r="C10" s="6" t="s">
        <v>14</v>
      </c>
      <c r="D10" s="6" t="s">
        <v>5</v>
      </c>
      <c r="E10" s="6" t="s">
        <v>9</v>
      </c>
      <c r="F10" s="6" t="s">
        <v>14</v>
      </c>
      <c r="G10" s="6" t="s">
        <v>5</v>
      </c>
    </row>
    <row r="11" spans="1:8" x14ac:dyDescent="0.35">
      <c r="A11" s="7" t="s">
        <v>15</v>
      </c>
      <c r="B11" s="8">
        <f>COUNTIFS('Datos por animal'!$C:$C,$A11,'Datos por animal'!$D:$D,"d-SLR (equilátero)")</f>
        <v>9</v>
      </c>
      <c r="C11" s="9">
        <f>AVERAGEIFS('Datos por animal'!$O:$O,'Datos por animal'!$C:$C,$A11,'Datos por animal'!$D:$D,"d-SLR (equilátero)")</f>
        <v>30.633333333333326</v>
      </c>
      <c r="D11" s="10">
        <f>AVERAGEIFS('Datos por animal'!$P:$P,'Datos por animal'!$C:$C,$A11,'Datos por animal'!$D:$D,"d-SLR (equilátero)")</f>
        <v>0.3185168851684913</v>
      </c>
      <c r="E11" s="8">
        <f>COUNTIFS('Datos por animal'!$C:$C,$A11,'Datos por animal'!$D:$D,"s-SLR (isósceles)")</f>
        <v>10</v>
      </c>
      <c r="F11" s="9">
        <f>AVERAGEIFS('Datos por animal'!$O:$O,'Datos por animal'!$C:$C,$A11,'Datos por animal'!$D:$D,"s-SLR (isósceles)")</f>
        <v>30.6</v>
      </c>
      <c r="G11" s="10">
        <f>AVERAGEIFS('Datos por animal'!$P:$P,'Datos por animal'!$C:$C,$A11,'Datos por animal'!$D:$D,"s-SLR (isósceles)")</f>
        <v>0.33009801261737598</v>
      </c>
    </row>
    <row r="12" spans="1:8" x14ac:dyDescent="0.35">
      <c r="A12" s="11" t="s">
        <v>16</v>
      </c>
      <c r="B12" s="8">
        <f>COUNTIFS('Datos por animal'!$C:$C,$A12,'Datos por animal'!$D:$D,"d-SLR (equilátero)")</f>
        <v>9</v>
      </c>
      <c r="C12" s="9">
        <f>AVERAGEIFS('Datos por animal'!$O:$O,'Datos por animal'!$C:$C,$A12,'Datos por animal'!$D:$D,"d-SLR (equilátero)")</f>
        <v>50.722222222222221</v>
      </c>
      <c r="D12" s="10">
        <f>AVERAGEIFS('Datos por animal'!$P:$P,'Datos por animal'!$C:$C,$A12,'Datos por animal'!$D:$D,"d-SLR (equilátero)")</f>
        <v>0.33397342187898088</v>
      </c>
      <c r="E12" s="8">
        <f>COUNTIFS('Datos por animal'!$C:$C,$A12,'Datos por animal'!$D:$D,"s-SLR (isósceles)")</f>
        <v>9</v>
      </c>
      <c r="F12" s="9">
        <f>AVERAGEIFS('Datos por animal'!$O:$O,'Datos por animal'!$C:$C,$A12,'Datos por animal'!$D:$D,"s-SLR (isósceles)")</f>
        <v>58.222222222222221</v>
      </c>
      <c r="G12" s="10">
        <f>AVERAGEIFS('Datos por animal'!$P:$P,'Datos por animal'!$C:$C,$A12,'Datos por animal'!$D:$D,"s-SLR (isósceles)")</f>
        <v>0.35415744659671161</v>
      </c>
    </row>
    <row r="13" spans="1:8" x14ac:dyDescent="0.35">
      <c r="A13" s="12" t="s">
        <v>17</v>
      </c>
      <c r="B13" s="8">
        <f>COUNTIFS('Datos por animal'!$C:$C,$A13,'Datos por animal'!$D:$D,"d-SLR (equilátero)")</f>
        <v>10</v>
      </c>
      <c r="C13" s="9">
        <f>AVERAGEIFS('Datos por animal'!$O:$O,'Datos por animal'!$C:$C,$A13,'Datos por animal'!$D:$D,"d-SLR (equilátero)")</f>
        <v>43.429999999999993</v>
      </c>
      <c r="D13" s="10">
        <f>AVERAGEIFS('Datos por animal'!$P:$P,'Datos por animal'!$C:$C,$A13,'Datos por animal'!$D:$D,"d-SLR (equilátero)")</f>
        <v>0.34155798313945968</v>
      </c>
      <c r="E13" s="8">
        <f>COUNTIFS('Datos por animal'!$C:$C,$A13,'Datos por animal'!$D:$D,"s-SLR (isósceles)")</f>
        <v>10</v>
      </c>
      <c r="F13" s="9">
        <f>AVERAGEIFS('Datos por animal'!$O:$O,'Datos por animal'!$C:$C,$A13,'Datos por animal'!$D:$D,"s-SLR (isósceles)")</f>
        <v>39.959999999999994</v>
      </c>
      <c r="G13" s="10">
        <f>AVERAGEIFS('Datos por animal'!$P:$P,'Datos por animal'!$C:$C,$A13,'Datos por animal'!$D:$D,"s-SLR (isósceles)")</f>
        <v>0.39472189531521595</v>
      </c>
    </row>
    <row r="14" spans="1:8" x14ac:dyDescent="0.35">
      <c r="A14" s="7" t="s">
        <v>18</v>
      </c>
      <c r="B14" s="8">
        <f>COUNTIFS('Datos por animal'!$C:$C,$A14,'Datos por animal'!$D:$D,"d-SLR (equilátero)")</f>
        <v>10</v>
      </c>
      <c r="C14" s="9">
        <f>AVERAGEIFS('Datos por animal'!$O:$O,'Datos por animal'!$C:$C,$A14,'Datos por animal'!$D:$D,"d-SLR (equilátero)")</f>
        <v>42.88</v>
      </c>
      <c r="D14" s="10">
        <f>AVERAGEIFS('Datos por animal'!$P:$P,'Datos por animal'!$C:$C,$A14,'Datos por animal'!$D:$D,"d-SLR (equilátero)")</f>
        <v>0.36687765780609471</v>
      </c>
      <c r="E14" s="8">
        <f>COUNTIFS('Datos por animal'!$C:$C,$A14,'Datos por animal'!$D:$D,"s-SLR (isósceles)")</f>
        <v>10</v>
      </c>
      <c r="F14" s="9">
        <f>AVERAGEIFS('Datos por animal'!$O:$O,'Datos por animal'!$C:$C,$A14,'Datos por animal'!$D:$D,"s-SLR (isósceles)")</f>
        <v>30.540000000000003</v>
      </c>
      <c r="G14" s="10">
        <f>AVERAGEIFS('Datos por animal'!$P:$P,'Datos por animal'!$C:$C,$A14,'Datos por animal'!$D:$D,"s-SLR (isósceles)")</f>
        <v>0.4512639929522364</v>
      </c>
    </row>
    <row r="15" spans="1:8" x14ac:dyDescent="0.35">
      <c r="A15" s="11" t="s">
        <v>19</v>
      </c>
      <c r="B15" s="8">
        <f>COUNTIFS('Datos por animal'!$C:$C,$A15,'Datos por animal'!$D:$D,"d-SLR (equilátero)")</f>
        <v>10</v>
      </c>
      <c r="C15" s="9">
        <f>AVERAGEIFS('Datos por animal'!$O:$O,'Datos por animal'!$C:$C,$A15,'Datos por animal'!$D:$D,"d-SLR (equilátero)")</f>
        <v>37.179999999999993</v>
      </c>
      <c r="D15" s="10">
        <f>AVERAGEIFS('Datos por animal'!$P:$P,'Datos por animal'!$C:$C,$A15,'Datos por animal'!$D:$D,"d-SLR (equilátero)")</f>
        <v>0.36713238665872094</v>
      </c>
      <c r="E15" s="8">
        <f>COUNTIFS('Datos por animal'!$C:$C,$A15,'Datos por animal'!$D:$D,"s-SLR (isósceles)")</f>
        <v>10</v>
      </c>
      <c r="F15" s="9">
        <f>AVERAGEIFS('Datos por animal'!$O:$O,'Datos por animal'!$C:$C,$A15,'Datos por animal'!$D:$D,"s-SLR (isósceles)")</f>
        <v>37.770000000000003</v>
      </c>
      <c r="G15" s="10">
        <f>AVERAGEIFS('Datos por animal'!$P:$P,'Datos por animal'!$C:$C,$A15,'Datos por animal'!$D:$D,"s-SLR (isósceles)")</f>
        <v>0.47796850286621312</v>
      </c>
    </row>
    <row r="16" spans="1:8" x14ac:dyDescent="0.35">
      <c r="A16" s="12" t="s">
        <v>20</v>
      </c>
      <c r="B16" s="8">
        <f>COUNTIFS('Datos por animal'!$C:$C,$A16,'Datos por animal'!$D:$D,"d-SLR (equilátero)")</f>
        <v>10</v>
      </c>
      <c r="C16" s="9">
        <f>AVERAGEIFS('Datos por animal'!$O:$O,'Datos por animal'!$C:$C,$A16,'Datos por animal'!$D:$D,"d-SLR (equilátero)")</f>
        <v>56.069999999999993</v>
      </c>
      <c r="D16" s="10">
        <f>AVERAGEIFS('Datos por animal'!$P:$P,'Datos por animal'!$C:$C,$A16,'Datos por animal'!$D:$D,"d-SLR (equilátero)")</f>
        <v>0.33969996560657711</v>
      </c>
      <c r="E16" s="8">
        <f>COUNTIFS('Datos por animal'!$C:$C,$A16,'Datos por animal'!$D:$D,"s-SLR (isósceles)")</f>
        <v>10</v>
      </c>
      <c r="F16" s="9">
        <f>AVERAGEIFS('Datos por animal'!$O:$O,'Datos por animal'!$C:$C,$A16,'Datos por animal'!$D:$D,"s-SLR (isósceles)")</f>
        <v>55.44</v>
      </c>
      <c r="G16" s="10">
        <f>AVERAGEIFS('Datos por animal'!$P:$P,'Datos por animal'!$C:$C,$A16,'Datos por animal'!$D:$D,"s-SLR (isósceles)")</f>
        <v>0.38003844609517806</v>
      </c>
    </row>
    <row r="18" spans="1:7" x14ac:dyDescent="0.35">
      <c r="A18" s="13" t="s">
        <v>21</v>
      </c>
    </row>
    <row r="19" spans="1:7" ht="15" customHeight="1" x14ac:dyDescent="0.35">
      <c r="A19" s="2" t="s">
        <v>11</v>
      </c>
      <c r="B19" s="2" t="s">
        <v>12</v>
      </c>
      <c r="C19" s="2"/>
      <c r="D19" s="2"/>
      <c r="E19" s="2" t="s">
        <v>13</v>
      </c>
      <c r="F19" s="2"/>
      <c r="G19" s="2"/>
    </row>
    <row r="20" spans="1:7" ht="26" x14ac:dyDescent="0.35">
      <c r="A20" s="2"/>
      <c r="B20" s="6" t="s">
        <v>9</v>
      </c>
      <c r="C20" s="6" t="s">
        <v>22</v>
      </c>
      <c r="D20" s="6" t="s">
        <v>23</v>
      </c>
      <c r="E20" s="6" t="s">
        <v>9</v>
      </c>
      <c r="F20" s="6" t="s">
        <v>22</v>
      </c>
      <c r="G20" s="6" t="s">
        <v>23</v>
      </c>
    </row>
    <row r="21" spans="1:7" x14ac:dyDescent="0.35">
      <c r="A21" s="7" t="s">
        <v>15</v>
      </c>
      <c r="B21" s="8">
        <f>COUNTIFS('Datos por animal'!$C:$C,$A21,'Datos por animal'!$D:$D,"d-SLR (equilátero)",'Datos por animal'!$Q:$Q,"&gt;0")</f>
        <v>6</v>
      </c>
      <c r="C21" s="9">
        <f>AVERAGEIFS('Datos por animal'!$Q:$Q,'Datos por animal'!$C:$C,$A21,'Datos por animal'!$D:$D,"d-SLR (equilátero)")</f>
        <v>38.540166666666664</v>
      </c>
      <c r="D21" s="14">
        <f>AVERAGEIFS('Datos por animal'!$R:$R,'Datos por animal'!$C:$C,$A21,'Datos por animal'!$D:$D,"d-SLR (equilátero)")</f>
        <v>3.8665684816063712</v>
      </c>
      <c r="E21" s="8">
        <f>COUNTIFS('Datos por animal'!$C:$C,$A21,'Datos por animal'!$D:$D,"s-SLR (isósceles)",'Datos por animal'!$Q:$Q,"&gt;0")</f>
        <v>8</v>
      </c>
      <c r="F21" s="9">
        <f>AVERAGEIFS('Datos por animal'!$Q:$Q,'Datos por animal'!$C:$C,$A21,'Datos por animal'!$D:$D,"s-SLR (isósceles)")</f>
        <v>35.23075</v>
      </c>
      <c r="G21" s="14">
        <f>AVERAGEIFS('Datos por animal'!$R:$R,'Datos por animal'!$C:$C,$A21,'Datos por animal'!$D:$D,"s-SLR (isósceles)")</f>
        <v>3.5856878102425185</v>
      </c>
    </row>
    <row r="22" spans="1:7" x14ac:dyDescent="0.35">
      <c r="A22" s="11" t="s">
        <v>16</v>
      </c>
      <c r="B22" s="8">
        <f>COUNTIFS('Datos por animal'!$C:$C,$A22,'Datos por animal'!$D:$D,"d-SLR (equilátero)",'Datos por animal'!$Q:$Q,"&gt;0")</f>
        <v>9</v>
      </c>
      <c r="C22" s="9">
        <f>AVERAGEIFS('Datos por animal'!$Q:$Q,'Datos por animal'!$C:$C,$A22,'Datos por animal'!$D:$D,"d-SLR (equilátero)")</f>
        <v>52.040333333333336</v>
      </c>
      <c r="D22" s="14">
        <f>AVERAGEIFS('Datos por animal'!$R:$R,'Datos por animal'!$C:$C,$A22,'Datos por animal'!$D:$D,"d-SLR (equilátero)")</f>
        <v>5.2156492954951226</v>
      </c>
      <c r="E22" s="8">
        <f>COUNTIFS('Datos por animal'!$C:$C,$A22,'Datos por animal'!$D:$D,"s-SLR (isósceles)",'Datos por animal'!$Q:$Q,"&gt;0")</f>
        <v>9</v>
      </c>
      <c r="F22" s="9">
        <f>AVERAGEIFS('Datos por animal'!$Q:$Q,'Datos por animal'!$C:$C,$A22,'Datos por animal'!$D:$D,"s-SLR (isósceles)")</f>
        <v>53.568222222222225</v>
      </c>
      <c r="G22" s="14">
        <f>AVERAGEIFS('Datos por animal'!$R:$R,'Datos por animal'!$C:$C,$A22,'Datos por animal'!$D:$D,"s-SLR (isósceles)")</f>
        <v>5.3636853221174112</v>
      </c>
    </row>
    <row r="23" spans="1:7" x14ac:dyDescent="0.35">
      <c r="A23" s="12" t="s">
        <v>17</v>
      </c>
      <c r="B23" s="8">
        <f>COUNTIFS('Datos por animal'!$C:$C,$A23,'Datos por animal'!$D:$D,"d-SLR (equilátero)",'Datos por animal'!$Q:$Q,"&gt;0")</f>
        <v>10</v>
      </c>
      <c r="C23" s="9">
        <f>AVERAGEIFS('Datos por animal'!$Q:$Q,'Datos por animal'!$C:$C,$A23,'Datos por animal'!$D:$D,"d-SLR (equilátero)")</f>
        <v>46.715899999999998</v>
      </c>
      <c r="D23" s="14">
        <f>AVERAGEIFS('Datos por animal'!$R:$R,'Datos por animal'!$C:$C,$A23,'Datos por animal'!$D:$D,"d-SLR (equilátero)")</f>
        <v>4.6825677532264924</v>
      </c>
      <c r="E23" s="8">
        <f>COUNTIFS('Datos por animal'!$C:$C,$A23,'Datos por animal'!$D:$D,"s-SLR (isósceles)",'Datos por animal'!$Q:$Q,"&gt;0")</f>
        <v>10</v>
      </c>
      <c r="F23" s="9">
        <f>AVERAGEIFS('Datos por animal'!$Q:$Q,'Datos por animal'!$C:$C,$A23,'Datos por animal'!$D:$D,"s-SLR (isósceles)")</f>
        <v>49.730400000000003</v>
      </c>
      <c r="G23" s="14">
        <f>AVERAGEIFS('Datos por animal'!$R:$R,'Datos por animal'!$C:$C,$A23,'Datos por animal'!$D:$D,"s-SLR (isósceles)")</f>
        <v>5.0237425248599363</v>
      </c>
    </row>
    <row r="24" spans="1:7" x14ac:dyDescent="0.35">
      <c r="A24" s="7" t="s">
        <v>18</v>
      </c>
      <c r="B24" s="8">
        <f>COUNTIFS('Datos por animal'!$C:$C,$A24,'Datos por animal'!$D:$D,"d-SLR (equilátero)",'Datos por animal'!$Q:$Q,"&gt;0")</f>
        <v>9</v>
      </c>
      <c r="C24" s="9">
        <f>AVERAGEIFS('Datos por animal'!$Q:$Q,'Datos por animal'!$C:$C,$A24,'Datos por animal'!$D:$D,"d-SLR (equilátero)")</f>
        <v>29.841999999999999</v>
      </c>
      <c r="D24" s="14">
        <f>AVERAGEIFS('Datos por animal'!$R:$R,'Datos por animal'!$C:$C,$A24,'Datos por animal'!$D:$D,"d-SLR (equilátero)")</f>
        <v>3.1387800995024877</v>
      </c>
      <c r="E24" s="8">
        <f>COUNTIFS('Datos por animal'!$C:$C,$A24,'Datos por animal'!$D:$D,"s-SLR (isósceles)",'Datos por animal'!$Q:$Q,"&gt;0")</f>
        <v>10</v>
      </c>
      <c r="F24" s="9">
        <f>AVERAGEIFS('Datos por animal'!$Q:$Q,'Datos por animal'!$C:$C,$A24,'Datos por animal'!$D:$D,"s-SLR (isósceles)")</f>
        <v>26.2103</v>
      </c>
      <c r="G24" s="14">
        <f>AVERAGEIFS('Datos por animal'!$R:$R,'Datos por animal'!$C:$C,$A24,'Datos por animal'!$D:$D,"s-SLR (isósceles)")</f>
        <v>2.6210300000000002</v>
      </c>
    </row>
    <row r="25" spans="1:7" x14ac:dyDescent="0.35">
      <c r="A25" s="11" t="s">
        <v>19</v>
      </c>
      <c r="B25" s="8">
        <f>COUNTIFS('Datos por animal'!$C:$C,$A25,'Datos por animal'!$D:$D,"d-SLR (equilátero)",'Datos por animal'!$Q:$Q,"&gt;0")</f>
        <v>10</v>
      </c>
      <c r="C25" s="9">
        <f>AVERAGEIFS('Datos por animal'!$Q:$Q,'Datos por animal'!$C:$C,$A25,'Datos por animal'!$D:$D,"d-SLR (equilátero)")</f>
        <v>45.770699999999998</v>
      </c>
      <c r="D25" s="14">
        <f>AVERAGEIFS('Datos por animal'!$R:$R,'Datos por animal'!$C:$C,$A25,'Datos por animal'!$D:$D,"d-SLR (equilátero)")</f>
        <v>4.6513170445204945</v>
      </c>
      <c r="E25" s="8">
        <f>COUNTIFS('Datos por animal'!$C:$C,$A25,'Datos por animal'!$D:$D,"s-SLR (isósceles)",'Datos por animal'!$Q:$Q,"&gt;0")</f>
        <v>10</v>
      </c>
      <c r="F25" s="9">
        <f>AVERAGEIFS('Datos por animal'!$Q:$Q,'Datos por animal'!$C:$C,$A25,'Datos por animal'!$D:$D,"s-SLR (isósceles)")</f>
        <v>44.775600000000004</v>
      </c>
      <c r="G25" s="14">
        <f>AVERAGEIFS('Datos por animal'!$R:$R,'Datos por animal'!$C:$C,$A25,'Datos por animal'!$D:$D,"s-SLR (isósceles)")</f>
        <v>4.4804856102461077</v>
      </c>
    </row>
    <row r="26" spans="1:7" x14ac:dyDescent="0.35">
      <c r="A26" s="12" t="s">
        <v>20</v>
      </c>
      <c r="B26" s="8">
        <f>COUNTIFS('Datos por animal'!$C:$C,$A26,'Datos por animal'!$D:$D,"d-SLR (equilátero)",'Datos por animal'!$Q:$Q,"&gt;0")</f>
        <v>10</v>
      </c>
      <c r="C26" s="9">
        <f>AVERAGEIFS('Datos por animal'!$Q:$Q,'Datos por animal'!$C:$C,$A26,'Datos por animal'!$D:$D,"d-SLR (equilátero)")</f>
        <v>41.064500000000002</v>
      </c>
      <c r="D26" s="14">
        <f>AVERAGEIFS('Datos por animal'!$R:$R,'Datos por animal'!$C:$C,$A26,'Datos por animal'!$D:$D,"d-SLR (equilátero)")</f>
        <v>4.1246276427829702</v>
      </c>
      <c r="E26" s="8">
        <f>COUNTIFS('Datos por animal'!$C:$C,$A26,'Datos por animal'!$D:$D,"s-SLR (isósceles)",'Datos por animal'!$Q:$Q,"&gt;0")</f>
        <v>10</v>
      </c>
      <c r="F26" s="9">
        <f>AVERAGEIFS('Datos por animal'!$Q:$Q,'Datos por animal'!$C:$C,$A26,'Datos por animal'!$D:$D,"s-SLR (isósceles)")</f>
        <v>44.457399999999993</v>
      </c>
      <c r="G26" s="14">
        <f>AVERAGEIFS('Datos por animal'!$R:$R,'Datos por animal'!$C:$C,$A26,'Datos por animal'!$D:$D,"s-SLR (isósceles)")</f>
        <v>4.4457399999999998</v>
      </c>
    </row>
    <row r="28" spans="1:7" x14ac:dyDescent="0.35">
      <c r="A28" s="13" t="s">
        <v>24</v>
      </c>
    </row>
    <row r="29" spans="1:7" ht="26" x14ac:dyDescent="0.35">
      <c r="A29" s="6" t="s">
        <v>25</v>
      </c>
      <c r="B29" s="6" t="s">
        <v>26</v>
      </c>
      <c r="C29" s="6" t="s">
        <v>27</v>
      </c>
      <c r="D29" s="6" t="s">
        <v>22</v>
      </c>
      <c r="E29" s="6" t="s">
        <v>23</v>
      </c>
    </row>
    <row r="30" spans="1:7" x14ac:dyDescent="0.35">
      <c r="A30" s="15" t="s">
        <v>28</v>
      </c>
      <c r="B30" s="15" t="s">
        <v>29</v>
      </c>
      <c r="C30" s="8">
        <f>COUNTIFS('Datos por animal'!$E:$E,$A30,'Datos por animal'!$A:$A,$B30,'Datos por animal'!$Q:$Q,"&gt;0")</f>
        <v>10</v>
      </c>
      <c r="D30" s="9">
        <f>IFERROR(AVERAGEIFS('Datos por animal'!$Q:$Q,'Datos por animal'!$E:$E,$A30,'Datos por animal'!$A:$A,$B30),"sin dato")</f>
        <v>54.067000000000007</v>
      </c>
      <c r="E30" s="14">
        <f>IFERROR(AVERAGEIFS('Datos por animal'!$R:$R,'Datos por animal'!$E:$E,$A30,'Datos por animal'!$A:$A,$B30),"sin dato")</f>
        <v>5.4180174680925202</v>
      </c>
    </row>
    <row r="31" spans="1:7" x14ac:dyDescent="0.35">
      <c r="A31" s="15" t="s">
        <v>30</v>
      </c>
      <c r="B31" s="15" t="s">
        <v>29</v>
      </c>
      <c r="C31" s="8">
        <f>COUNTIFS('Datos por animal'!$E:$E,$A31,'Datos por animal'!$A:$A,$B31,'Datos por animal'!$Q:$Q,"&gt;0")</f>
        <v>10</v>
      </c>
      <c r="D31" s="9">
        <f>IFERROR(AVERAGEIFS('Datos por animal'!$Q:$Q,'Datos por animal'!$E:$E,$A31,'Datos por animal'!$A:$A,$B31),"sin dato")</f>
        <v>62.538200000000003</v>
      </c>
      <c r="E31" s="14">
        <f>IFERROR(AVERAGEIFS('Datos por animal'!$R:$R,'Datos por animal'!$E:$E,$A31,'Datos por animal'!$A:$A,$B31),"sin dato")</f>
        <v>6.2538199999999993</v>
      </c>
    </row>
    <row r="32" spans="1:7" x14ac:dyDescent="0.35">
      <c r="A32" s="15" t="s">
        <v>31</v>
      </c>
      <c r="B32" s="15" t="s">
        <v>29</v>
      </c>
      <c r="C32" s="8">
        <f>COUNTIFS('Datos por animal'!$E:$E,$A32,'Datos por animal'!$A:$A,$B32,'Datos por animal'!$Q:$Q,"&gt;0")</f>
        <v>5</v>
      </c>
      <c r="D32" s="9">
        <f>IFERROR(AVERAGEIFS('Datos por animal'!$Q:$Q,'Datos por animal'!$E:$E,$A32,'Datos por animal'!$A:$A,$B32),"sin dato")</f>
        <v>33.235199999999999</v>
      </c>
      <c r="E32" s="14">
        <f>IFERROR(AVERAGEIFS('Datos por animal'!$R:$R,'Datos por animal'!$E:$E,$A32,'Datos por animal'!$A:$A,$B32),"sin dato")</f>
        <v>3.400695317951604</v>
      </c>
    </row>
    <row r="33" spans="1:5" x14ac:dyDescent="0.35">
      <c r="A33" s="15" t="s">
        <v>32</v>
      </c>
      <c r="B33" s="15" t="s">
        <v>29</v>
      </c>
      <c r="C33" s="8">
        <f>COUNTIFS('Datos por animal'!$E:$E,$A33,'Datos por animal'!$A:$A,$B33,'Datos por animal'!$Q:$Q,"&gt;0")</f>
        <v>19</v>
      </c>
      <c r="D33" s="9">
        <f>IFERROR(AVERAGEIFS('Datos por animal'!$Q:$Q,'Datos por animal'!$E:$E,$A33,'Datos por animal'!$A:$A,$B33),"sin dato")</f>
        <v>39.923999999999999</v>
      </c>
      <c r="E33" s="14">
        <f>IFERROR(AVERAGEIFS('Datos por animal'!$R:$R,'Datos por animal'!$E:$E,$A33,'Datos por animal'!$A:$A,$B33),"sin dato")</f>
        <v>4.0331193300259596</v>
      </c>
    </row>
    <row r="34" spans="1:5" x14ac:dyDescent="0.35">
      <c r="A34" s="15" t="s">
        <v>33</v>
      </c>
      <c r="B34" s="15" t="s">
        <v>29</v>
      </c>
      <c r="C34" s="8">
        <f>COUNTIFS('Datos por animal'!$E:$E,$A34,'Datos por animal'!$A:$A,$B34,'Datos por animal'!$Q:$Q,"&gt;0")</f>
        <v>8</v>
      </c>
      <c r="D34" s="9">
        <f>IFERROR(AVERAGEIFS('Datos por animal'!$Q:$Q,'Datos por animal'!$E:$E,$A34,'Datos por animal'!$A:$A,$B34),"sin dato")</f>
        <v>42.155374999999999</v>
      </c>
      <c r="E34" s="14">
        <f>IFERROR(AVERAGEIFS('Datos por animal'!$R:$R,'Datos por animal'!$E:$E,$A34,'Datos por animal'!$A:$A,$B34),"sin dato")</f>
        <v>4.2263636462223788</v>
      </c>
    </row>
    <row r="35" spans="1:5" x14ac:dyDescent="0.35">
      <c r="A35" s="15" t="s">
        <v>34</v>
      </c>
      <c r="B35" s="15" t="s">
        <v>35</v>
      </c>
      <c r="C35" s="8">
        <f>COUNTIFS('Datos por animal'!$E:$E,$A35,'Datos por animal'!$A:$A,$B35,'Datos por animal'!$Q:$Q,"&gt;0")</f>
        <v>10</v>
      </c>
      <c r="D35" s="9">
        <f>IFERROR(AVERAGEIFS('Datos por animal'!$Q:$Q,'Datos por animal'!$E:$E,$A35,'Datos por animal'!$A:$A,$B35),"sin dato")</f>
        <v>37.5854</v>
      </c>
      <c r="E35" s="14">
        <f>IFERROR(AVERAGEIFS('Datos por animal'!$R:$R,'Datos por animal'!$E:$E,$A35,'Datos por animal'!$A:$A,$B35),"sin dato")</f>
        <v>3.7585399999999991</v>
      </c>
    </row>
    <row r="36" spans="1:5" x14ac:dyDescent="0.35">
      <c r="A36" s="15" t="s">
        <v>36</v>
      </c>
      <c r="B36" s="15" t="s">
        <v>35</v>
      </c>
      <c r="C36" s="8">
        <f>COUNTIFS('Datos por animal'!$E:$E,$A36,'Datos por animal'!$A:$A,$B36,'Datos por animal'!$Q:$Q,"&gt;0")</f>
        <v>10</v>
      </c>
      <c r="D36" s="9">
        <f>IFERROR(AVERAGEIFS('Datos por animal'!$Q:$Q,'Datos por animal'!$E:$E,$A36,'Datos por animal'!$A:$A,$B36),"sin dato")</f>
        <v>31.749900000000004</v>
      </c>
      <c r="E36" s="14">
        <f>IFERROR(AVERAGEIFS('Datos por animal'!$R:$R,'Datos por animal'!$E:$E,$A36,'Datos por animal'!$A:$A,$B36),"sin dato")</f>
        <v>3.1749900000000002</v>
      </c>
    </row>
    <row r="37" spans="1:5" x14ac:dyDescent="0.35">
      <c r="A37" s="15" t="s">
        <v>37</v>
      </c>
      <c r="B37" s="15" t="s">
        <v>35</v>
      </c>
      <c r="C37" s="8">
        <f>COUNTIFS('Datos por animal'!$E:$E,$A37,'Datos por animal'!$A:$A,$B37,'Datos por animal'!$Q:$Q,"&gt;0")</f>
        <v>19</v>
      </c>
      <c r="D37" s="9">
        <f>IFERROR(AVERAGEIFS('Datos por animal'!$Q:$Q,'Datos por animal'!$E:$E,$A37,'Datos por animal'!$A:$A,$B37),"sin dato")</f>
        <v>27.05521052631579</v>
      </c>
      <c r="E37" s="14">
        <f>IFERROR(AVERAGEIFS('Datos por animal'!$R:$R,'Datos por animal'!$E:$E,$A37,'Datos por animal'!$A:$A,$B37),"sin dato")</f>
        <v>2.8126283978702835</v>
      </c>
    </row>
    <row r="38" spans="1:5" x14ac:dyDescent="0.35">
      <c r="A38" s="15" t="s">
        <v>38</v>
      </c>
      <c r="B38" s="15" t="s">
        <v>35</v>
      </c>
      <c r="C38" s="8">
        <f>COUNTIFS('Datos por animal'!$E:$E,$A38,'Datos por animal'!$A:$A,$B38,'Datos por animal'!$Q:$Q,"&gt;0")</f>
        <v>20</v>
      </c>
      <c r="D38" s="9">
        <f>IFERROR(AVERAGEIFS('Datos por animal'!$Q:$Q,'Datos por animal'!$E:$E,$A38,'Datos por animal'!$A:$A,$B38),"sin dato")</f>
        <v>54.198050000000002</v>
      </c>
      <c r="E38" s="14">
        <f>IFERROR(AVERAGEIFS('Datos por animal'!$R:$R,'Datos por animal'!$E:$E,$A38,'Datos por animal'!$A:$A,$B38),"sin dato")</f>
        <v>5.4352892155741364</v>
      </c>
    </row>
    <row r="40" spans="1:5" x14ac:dyDescent="0.35">
      <c r="A40" s="16" t="s">
        <v>39</v>
      </c>
    </row>
    <row r="41" spans="1:5" x14ac:dyDescent="0.35">
      <c r="A41" s="16" t="s">
        <v>40</v>
      </c>
    </row>
    <row r="42" spans="1:5" x14ac:dyDescent="0.35">
      <c r="A42" s="16" t="s">
        <v>41</v>
      </c>
    </row>
    <row r="43" spans="1:5" x14ac:dyDescent="0.35">
      <c r="A43" s="16" t="s">
        <v>42</v>
      </c>
    </row>
    <row r="44" spans="1:5" x14ac:dyDescent="0.35">
      <c r="A44" s="16" t="s">
        <v>43</v>
      </c>
    </row>
    <row r="45" spans="1:5" x14ac:dyDescent="0.35">
      <c r="A45" s="16" t="s">
        <v>44</v>
      </c>
    </row>
    <row r="46" spans="1:5" x14ac:dyDescent="0.35">
      <c r="A46" s="16" t="s">
        <v>45</v>
      </c>
    </row>
  </sheetData>
  <mergeCells count="11">
    <mergeCell ref="A9:A10"/>
    <mergeCell ref="B9:D9"/>
    <mergeCell ref="E9:G9"/>
    <mergeCell ref="A19:A20"/>
    <mergeCell ref="B19:D19"/>
    <mergeCell ref="E19:G19"/>
    <mergeCell ref="B3:H3"/>
    <mergeCell ref="B4:H4"/>
    <mergeCell ref="B5:H5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7"/>
  <sheetViews>
    <sheetView tabSelected="1" zoomScaleNormal="100" workbookViewId="0">
      <pane xSplit="9" ySplit="4" topLeftCell="J5" activePane="bottomRight" state="frozen"/>
      <selection pane="topRight" activeCell="J1" sqref="J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9" customWidth="1"/>
    <col min="2" max="2" width="11" customWidth="1"/>
    <col min="3" max="3" width="20" customWidth="1"/>
    <col min="4" max="4" width="18" customWidth="1"/>
    <col min="5" max="5" width="22" customWidth="1"/>
    <col min="6" max="6" width="8" customWidth="1"/>
    <col min="7" max="7" width="11" customWidth="1"/>
    <col min="8" max="8" width="25" customWidth="1"/>
    <col min="9" max="9" width="14" customWidth="1"/>
    <col min="10" max="10" width="10" customWidth="1"/>
    <col min="11" max="11" width="11" customWidth="1"/>
    <col min="12" max="12" width="14" customWidth="1"/>
    <col min="13" max="14" width="12" customWidth="1"/>
    <col min="15" max="15" width="13" customWidth="1"/>
    <col min="16" max="18" width="12" customWidth="1"/>
    <col min="19" max="19" width="22" customWidth="1"/>
  </cols>
  <sheetData>
    <row r="1" spans="1:19" ht="16.5" x14ac:dyDescent="0.35">
      <c r="A1" s="4" t="s">
        <v>46</v>
      </c>
    </row>
    <row r="2" spans="1:19" ht="27.75" customHeight="1" x14ac:dyDescent="0.35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spans="1:19" ht="54" customHeight="1" x14ac:dyDescent="0.35">
      <c r="A4" s="6" t="s">
        <v>26</v>
      </c>
      <c r="B4" s="6" t="s">
        <v>48</v>
      </c>
      <c r="C4" s="6" t="s">
        <v>11</v>
      </c>
      <c r="D4" s="6" t="s">
        <v>49</v>
      </c>
      <c r="E4" s="6" t="s">
        <v>25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54</v>
      </c>
      <c r="K4" s="6" t="s">
        <v>55</v>
      </c>
      <c r="L4" s="6" t="s">
        <v>56</v>
      </c>
      <c r="M4" s="6" t="s">
        <v>57</v>
      </c>
      <c r="N4" s="6" t="s">
        <v>58</v>
      </c>
      <c r="O4" s="6" t="s">
        <v>59</v>
      </c>
      <c r="P4" s="6" t="s">
        <v>60</v>
      </c>
      <c r="Q4" s="6" t="s">
        <v>61</v>
      </c>
      <c r="R4" s="6" t="s">
        <v>62</v>
      </c>
      <c r="S4" s="6" t="s">
        <v>63</v>
      </c>
    </row>
    <row r="5" spans="1:19" x14ac:dyDescent="0.35">
      <c r="A5" s="15" t="s">
        <v>29</v>
      </c>
      <c r="B5" s="7" t="s">
        <v>64</v>
      </c>
      <c r="C5" s="15" t="s">
        <v>15</v>
      </c>
      <c r="D5" s="15" t="s">
        <v>12</v>
      </c>
      <c r="E5" s="15" t="s">
        <v>32</v>
      </c>
      <c r="F5" s="17" t="s">
        <v>65</v>
      </c>
      <c r="G5" s="17" t="s">
        <v>66</v>
      </c>
      <c r="H5" s="15" t="s">
        <v>67</v>
      </c>
      <c r="I5" s="15" t="s">
        <v>68</v>
      </c>
      <c r="J5" s="18">
        <v>598.79999999999995</v>
      </c>
      <c r="K5" s="17" t="s">
        <v>69</v>
      </c>
      <c r="L5" s="19">
        <v>8.6</v>
      </c>
      <c r="M5" s="19">
        <v>17.8</v>
      </c>
      <c r="N5" s="19">
        <v>19.2</v>
      </c>
      <c r="O5" s="20">
        <f t="shared" ref="O5:O36" si="0">L5+M5+N5</f>
        <v>45.599999999999994</v>
      </c>
      <c r="P5" s="21">
        <f t="shared" ref="P5:P36" si="1">IF(O5=0,"",L5/O5)</f>
        <v>0.18859649122807018</v>
      </c>
      <c r="Q5" s="22">
        <v>51.322000000000003</v>
      </c>
      <c r="R5" s="23">
        <f t="shared" ref="R5:R36" si="2">IF(AND(ISNUMBER(Q5),ISNUMBER(J5)),Q5/(J5/60),"")</f>
        <v>5.1424849699398809</v>
      </c>
      <c r="S5" s="15" t="s">
        <v>70</v>
      </c>
    </row>
    <row r="6" spans="1:19" x14ac:dyDescent="0.35">
      <c r="A6" s="15" t="s">
        <v>29</v>
      </c>
      <c r="B6" s="7" t="s">
        <v>64</v>
      </c>
      <c r="C6" s="15" t="s">
        <v>15</v>
      </c>
      <c r="D6" s="15" t="s">
        <v>12</v>
      </c>
      <c r="E6" s="15" t="s">
        <v>32</v>
      </c>
      <c r="F6" s="17" t="s">
        <v>65</v>
      </c>
      <c r="G6" s="17" t="s">
        <v>66</v>
      </c>
      <c r="H6" s="15" t="s">
        <v>67</v>
      </c>
      <c r="I6" s="15" t="s">
        <v>71</v>
      </c>
      <c r="J6" s="18">
        <v>592.70000000000005</v>
      </c>
      <c r="K6" s="17" t="s">
        <v>69</v>
      </c>
      <c r="L6" s="19">
        <v>10.8</v>
      </c>
      <c r="M6" s="19">
        <v>22.5</v>
      </c>
      <c r="N6" s="19">
        <v>21</v>
      </c>
      <c r="O6" s="20">
        <f t="shared" si="0"/>
        <v>54.3</v>
      </c>
      <c r="P6" s="21">
        <f t="shared" si="1"/>
        <v>0.19889502762430941</v>
      </c>
      <c r="Q6" s="22">
        <v>44.793999999999997</v>
      </c>
      <c r="R6" s="23">
        <f t="shared" si="2"/>
        <v>4.5345706090771039</v>
      </c>
      <c r="S6" s="15" t="s">
        <v>70</v>
      </c>
    </row>
    <row r="7" spans="1:19" x14ac:dyDescent="0.35">
      <c r="A7" s="15" t="s">
        <v>29</v>
      </c>
      <c r="B7" s="7" t="s">
        <v>64</v>
      </c>
      <c r="C7" s="15" t="s">
        <v>15</v>
      </c>
      <c r="D7" s="15" t="s">
        <v>12</v>
      </c>
      <c r="E7" s="15" t="s">
        <v>32</v>
      </c>
      <c r="F7" s="17" t="s">
        <v>65</v>
      </c>
      <c r="G7" s="17" t="s">
        <v>66</v>
      </c>
      <c r="H7" s="15" t="s">
        <v>67</v>
      </c>
      <c r="I7" s="15" t="s">
        <v>72</v>
      </c>
      <c r="J7" s="18">
        <v>600</v>
      </c>
      <c r="K7" s="17" t="s">
        <v>69</v>
      </c>
      <c r="L7" s="19">
        <v>7.2</v>
      </c>
      <c r="M7" s="19">
        <v>10.3</v>
      </c>
      <c r="N7" s="19">
        <v>9.4</v>
      </c>
      <c r="O7" s="20">
        <f t="shared" si="0"/>
        <v>26.9</v>
      </c>
      <c r="P7" s="21">
        <f t="shared" si="1"/>
        <v>0.26765799256505579</v>
      </c>
      <c r="Q7" s="22">
        <v>23.542999999999999</v>
      </c>
      <c r="R7" s="23">
        <f t="shared" si="2"/>
        <v>2.3542999999999998</v>
      </c>
      <c r="S7" s="15" t="s">
        <v>70</v>
      </c>
    </row>
    <row r="8" spans="1:19" x14ac:dyDescent="0.35">
      <c r="A8" s="15" t="s">
        <v>29</v>
      </c>
      <c r="B8" s="7" t="s">
        <v>64</v>
      </c>
      <c r="C8" s="15" t="s">
        <v>15</v>
      </c>
      <c r="D8" s="15" t="s">
        <v>12</v>
      </c>
      <c r="E8" s="15" t="s">
        <v>32</v>
      </c>
      <c r="F8" s="17" t="s">
        <v>65</v>
      </c>
      <c r="G8" s="17" t="s">
        <v>66</v>
      </c>
      <c r="H8" s="15" t="s">
        <v>67</v>
      </c>
      <c r="I8" s="15" t="s">
        <v>73</v>
      </c>
      <c r="J8" s="18">
        <v>598.79999999999995</v>
      </c>
      <c r="K8" s="17" t="s">
        <v>69</v>
      </c>
      <c r="L8" s="19">
        <v>12.9</v>
      </c>
      <c r="M8" s="19">
        <v>4.8</v>
      </c>
      <c r="N8" s="19">
        <v>7.6</v>
      </c>
      <c r="O8" s="20">
        <f t="shared" si="0"/>
        <v>25.299999999999997</v>
      </c>
      <c r="P8" s="21">
        <f t="shared" si="1"/>
        <v>0.50988142292490124</v>
      </c>
      <c r="Q8" s="22">
        <v>49.177999999999997</v>
      </c>
      <c r="R8" s="23">
        <f t="shared" si="2"/>
        <v>4.9276553106212431</v>
      </c>
      <c r="S8" s="15" t="s">
        <v>70</v>
      </c>
    </row>
    <row r="9" spans="1:19" x14ac:dyDescent="0.35">
      <c r="A9" s="15" t="s">
        <v>29</v>
      </c>
      <c r="B9" s="7" t="s">
        <v>64</v>
      </c>
      <c r="C9" s="15" t="s">
        <v>15</v>
      </c>
      <c r="D9" s="15" t="s">
        <v>12</v>
      </c>
      <c r="E9" s="15" t="s">
        <v>31</v>
      </c>
      <c r="F9" s="17" t="s">
        <v>74</v>
      </c>
      <c r="G9" s="17" t="s">
        <v>75</v>
      </c>
      <c r="H9" s="15" t="s">
        <v>76</v>
      </c>
      <c r="I9" s="15" t="s">
        <v>77</v>
      </c>
      <c r="J9" s="18" t="s">
        <v>78</v>
      </c>
      <c r="K9" s="17" t="s">
        <v>69</v>
      </c>
      <c r="L9" s="19">
        <v>12.8</v>
      </c>
      <c r="M9" s="19">
        <v>11.4</v>
      </c>
      <c r="N9" s="19">
        <v>9.6</v>
      </c>
      <c r="O9" s="20">
        <f t="shared" si="0"/>
        <v>33.800000000000004</v>
      </c>
      <c r="P9" s="21">
        <f t="shared" si="1"/>
        <v>0.378698224852071</v>
      </c>
      <c r="Q9" s="24" t="s">
        <v>78</v>
      </c>
      <c r="R9" s="23" t="str">
        <f t="shared" si="2"/>
        <v/>
      </c>
      <c r="S9" s="15" t="s">
        <v>70</v>
      </c>
    </row>
    <row r="10" spans="1:19" x14ac:dyDescent="0.35">
      <c r="A10" s="15" t="s">
        <v>29</v>
      </c>
      <c r="B10" s="7" t="s">
        <v>64</v>
      </c>
      <c r="C10" s="15" t="s">
        <v>15</v>
      </c>
      <c r="D10" s="15" t="s">
        <v>12</v>
      </c>
      <c r="E10" s="15" t="s">
        <v>31</v>
      </c>
      <c r="F10" s="17" t="s">
        <v>74</v>
      </c>
      <c r="G10" s="17" t="s">
        <v>75</v>
      </c>
      <c r="H10" s="15" t="s">
        <v>76</v>
      </c>
      <c r="I10" s="15" t="s">
        <v>79</v>
      </c>
      <c r="J10" s="18" t="s">
        <v>78</v>
      </c>
      <c r="K10" s="17" t="s">
        <v>69</v>
      </c>
      <c r="L10" s="19">
        <v>4.8</v>
      </c>
      <c r="M10" s="19">
        <v>10.7</v>
      </c>
      <c r="N10" s="19">
        <v>15.1</v>
      </c>
      <c r="O10" s="20">
        <f t="shared" si="0"/>
        <v>30.6</v>
      </c>
      <c r="P10" s="21">
        <f t="shared" si="1"/>
        <v>0.15686274509803921</v>
      </c>
      <c r="Q10" s="24" t="s">
        <v>78</v>
      </c>
      <c r="R10" s="23" t="str">
        <f t="shared" si="2"/>
        <v/>
      </c>
      <c r="S10" s="15" t="s">
        <v>70</v>
      </c>
    </row>
    <row r="11" spans="1:19" x14ac:dyDescent="0.35">
      <c r="A11" s="15" t="s">
        <v>29</v>
      </c>
      <c r="B11" s="7" t="s">
        <v>64</v>
      </c>
      <c r="C11" s="15" t="s">
        <v>15</v>
      </c>
      <c r="D11" s="15" t="s">
        <v>12</v>
      </c>
      <c r="E11" s="15" t="s">
        <v>31</v>
      </c>
      <c r="F11" s="17" t="s">
        <v>74</v>
      </c>
      <c r="G11" s="17" t="s">
        <v>75</v>
      </c>
      <c r="H11" s="15" t="s">
        <v>76</v>
      </c>
      <c r="I11" s="15" t="s">
        <v>80</v>
      </c>
      <c r="J11" s="18" t="s">
        <v>78</v>
      </c>
      <c r="K11" s="17" t="s">
        <v>69</v>
      </c>
      <c r="L11" s="19">
        <v>13.3</v>
      </c>
      <c r="M11" s="19">
        <v>12.4</v>
      </c>
      <c r="N11" s="19">
        <v>5.4</v>
      </c>
      <c r="O11" s="20">
        <f t="shared" si="0"/>
        <v>31.1</v>
      </c>
      <c r="P11" s="21">
        <f t="shared" si="1"/>
        <v>0.42765273311897106</v>
      </c>
      <c r="Q11" s="24" t="s">
        <v>78</v>
      </c>
      <c r="R11" s="23" t="str">
        <f t="shared" si="2"/>
        <v/>
      </c>
      <c r="S11" s="15" t="s">
        <v>70</v>
      </c>
    </row>
    <row r="12" spans="1:19" x14ac:dyDescent="0.35">
      <c r="A12" s="15" t="s">
        <v>29</v>
      </c>
      <c r="B12" s="7" t="s">
        <v>64</v>
      </c>
      <c r="C12" s="15" t="s">
        <v>15</v>
      </c>
      <c r="D12" s="15" t="s">
        <v>12</v>
      </c>
      <c r="E12" s="15" t="s">
        <v>31</v>
      </c>
      <c r="F12" s="17" t="s">
        <v>81</v>
      </c>
      <c r="G12" s="17" t="s">
        <v>82</v>
      </c>
      <c r="H12" s="15" t="s">
        <v>83</v>
      </c>
      <c r="I12" s="15" t="s">
        <v>84</v>
      </c>
      <c r="J12" s="18">
        <v>600</v>
      </c>
      <c r="K12" s="17" t="s">
        <v>69</v>
      </c>
      <c r="L12" s="19">
        <v>3.4</v>
      </c>
      <c r="M12" s="19">
        <v>1.7</v>
      </c>
      <c r="N12" s="19">
        <v>1.5</v>
      </c>
      <c r="O12" s="20">
        <f t="shared" si="0"/>
        <v>6.6</v>
      </c>
      <c r="P12" s="21">
        <f t="shared" si="1"/>
        <v>0.51515151515151514</v>
      </c>
      <c r="Q12" s="22">
        <v>30.934999999999999</v>
      </c>
      <c r="R12" s="23">
        <f t="shared" si="2"/>
        <v>3.0934999999999997</v>
      </c>
      <c r="S12" s="15" t="s">
        <v>85</v>
      </c>
    </row>
    <row r="13" spans="1:19" x14ac:dyDescent="0.35">
      <c r="A13" s="15" t="s">
        <v>29</v>
      </c>
      <c r="B13" s="7" t="s">
        <v>64</v>
      </c>
      <c r="C13" s="15" t="s">
        <v>15</v>
      </c>
      <c r="D13" s="15" t="s">
        <v>12</v>
      </c>
      <c r="E13" s="15" t="s">
        <v>31</v>
      </c>
      <c r="F13" s="17" t="s">
        <v>81</v>
      </c>
      <c r="G13" s="17" t="s">
        <v>82</v>
      </c>
      <c r="H13" s="15" t="s">
        <v>83</v>
      </c>
      <c r="I13" s="15" t="s">
        <v>86</v>
      </c>
      <c r="J13" s="18">
        <v>600</v>
      </c>
      <c r="K13" s="17" t="s">
        <v>69</v>
      </c>
      <c r="L13" s="19">
        <v>4.8</v>
      </c>
      <c r="M13" s="19">
        <v>5.5</v>
      </c>
      <c r="N13" s="19">
        <v>11.2</v>
      </c>
      <c r="O13" s="20">
        <f t="shared" si="0"/>
        <v>21.5</v>
      </c>
      <c r="P13" s="21">
        <f t="shared" si="1"/>
        <v>0.22325581395348837</v>
      </c>
      <c r="Q13" s="22">
        <v>31.469000000000001</v>
      </c>
      <c r="R13" s="23">
        <f t="shared" si="2"/>
        <v>3.1469</v>
      </c>
      <c r="S13" s="15" t="s">
        <v>85</v>
      </c>
    </row>
    <row r="14" spans="1:19" x14ac:dyDescent="0.35">
      <c r="A14" s="15" t="s">
        <v>29</v>
      </c>
      <c r="B14" s="7" t="s">
        <v>64</v>
      </c>
      <c r="C14" s="15" t="s">
        <v>15</v>
      </c>
      <c r="D14" s="15" t="s">
        <v>13</v>
      </c>
      <c r="E14" s="15" t="s">
        <v>32</v>
      </c>
      <c r="F14" s="17" t="s">
        <v>65</v>
      </c>
      <c r="G14" s="17" t="s">
        <v>66</v>
      </c>
      <c r="H14" s="15" t="s">
        <v>67</v>
      </c>
      <c r="I14" s="15" t="s">
        <v>87</v>
      </c>
      <c r="J14" s="18">
        <v>595.29999999999995</v>
      </c>
      <c r="K14" s="17" t="s">
        <v>69</v>
      </c>
      <c r="L14" s="19">
        <v>18.8</v>
      </c>
      <c r="M14" s="19">
        <v>6.4</v>
      </c>
      <c r="N14" s="19">
        <v>12.4</v>
      </c>
      <c r="O14" s="20">
        <f t="shared" si="0"/>
        <v>37.6</v>
      </c>
      <c r="P14" s="21">
        <f t="shared" si="1"/>
        <v>0.5</v>
      </c>
      <c r="Q14" s="22">
        <v>30.475999999999999</v>
      </c>
      <c r="R14" s="23">
        <f t="shared" si="2"/>
        <v>3.0716613472198895</v>
      </c>
      <c r="S14" s="15" t="s">
        <v>70</v>
      </c>
    </row>
    <row r="15" spans="1:19" x14ac:dyDescent="0.35">
      <c r="A15" s="15" t="s">
        <v>29</v>
      </c>
      <c r="B15" s="7" t="s">
        <v>64</v>
      </c>
      <c r="C15" s="15" t="s">
        <v>15</v>
      </c>
      <c r="D15" s="15" t="s">
        <v>13</v>
      </c>
      <c r="E15" s="15" t="s">
        <v>32</v>
      </c>
      <c r="F15" s="17" t="s">
        <v>65</v>
      </c>
      <c r="G15" s="17" t="s">
        <v>66</v>
      </c>
      <c r="H15" s="15" t="s">
        <v>67</v>
      </c>
      <c r="I15" s="15" t="s">
        <v>88</v>
      </c>
      <c r="J15" s="18">
        <v>598.5</v>
      </c>
      <c r="K15" s="17" t="s">
        <v>69</v>
      </c>
      <c r="L15" s="19">
        <v>12.5</v>
      </c>
      <c r="M15" s="19">
        <v>12.7</v>
      </c>
      <c r="N15" s="19">
        <v>11.3</v>
      </c>
      <c r="O15" s="20">
        <f t="shared" si="0"/>
        <v>36.5</v>
      </c>
      <c r="P15" s="21">
        <f t="shared" si="1"/>
        <v>0.34246575342465752</v>
      </c>
      <c r="Q15" s="22">
        <v>32.771999999999998</v>
      </c>
      <c r="R15" s="23">
        <f t="shared" si="2"/>
        <v>3.2854135338345865</v>
      </c>
      <c r="S15" s="15" t="s">
        <v>70</v>
      </c>
    </row>
    <row r="16" spans="1:19" x14ac:dyDescent="0.35">
      <c r="A16" s="15" t="s">
        <v>29</v>
      </c>
      <c r="B16" s="7" t="s">
        <v>64</v>
      </c>
      <c r="C16" s="15" t="s">
        <v>15</v>
      </c>
      <c r="D16" s="15" t="s">
        <v>13</v>
      </c>
      <c r="E16" s="15" t="s">
        <v>32</v>
      </c>
      <c r="F16" s="17" t="s">
        <v>65</v>
      </c>
      <c r="G16" s="17" t="s">
        <v>66</v>
      </c>
      <c r="H16" s="15" t="s">
        <v>67</v>
      </c>
      <c r="I16" s="15" t="s">
        <v>89</v>
      </c>
      <c r="J16" s="18">
        <v>598.79999999999995</v>
      </c>
      <c r="K16" s="17" t="s">
        <v>69</v>
      </c>
      <c r="L16" s="19">
        <v>5</v>
      </c>
      <c r="M16" s="19">
        <v>7.8</v>
      </c>
      <c r="N16" s="19">
        <v>10</v>
      </c>
      <c r="O16" s="20">
        <f t="shared" si="0"/>
        <v>22.8</v>
      </c>
      <c r="P16" s="21">
        <f t="shared" si="1"/>
        <v>0.21929824561403508</v>
      </c>
      <c r="Q16" s="22">
        <v>39.011000000000003</v>
      </c>
      <c r="R16" s="23">
        <f t="shared" si="2"/>
        <v>3.9089178356713434</v>
      </c>
      <c r="S16" s="15" t="s">
        <v>70</v>
      </c>
    </row>
    <row r="17" spans="1:19" x14ac:dyDescent="0.35">
      <c r="A17" s="15" t="s">
        <v>29</v>
      </c>
      <c r="B17" s="7" t="s">
        <v>64</v>
      </c>
      <c r="C17" s="15" t="s">
        <v>15</v>
      </c>
      <c r="D17" s="15" t="s">
        <v>13</v>
      </c>
      <c r="E17" s="15" t="s">
        <v>32</v>
      </c>
      <c r="F17" s="17" t="s">
        <v>65</v>
      </c>
      <c r="G17" s="17" t="s">
        <v>66</v>
      </c>
      <c r="H17" s="15" t="s">
        <v>67</v>
      </c>
      <c r="I17" s="15" t="s">
        <v>90</v>
      </c>
      <c r="J17" s="18">
        <v>598.4</v>
      </c>
      <c r="K17" s="17" t="s">
        <v>69</v>
      </c>
      <c r="L17" s="19">
        <v>11.8</v>
      </c>
      <c r="M17" s="19">
        <v>9.6999999999999993</v>
      </c>
      <c r="N17" s="19">
        <v>13.8</v>
      </c>
      <c r="O17" s="20">
        <f t="shared" si="0"/>
        <v>35.299999999999997</v>
      </c>
      <c r="P17" s="21">
        <f t="shared" si="1"/>
        <v>0.33427762039660064</v>
      </c>
      <c r="Q17" s="22">
        <v>35.066000000000003</v>
      </c>
      <c r="R17" s="23">
        <f t="shared" si="2"/>
        <v>3.5159759358288776</v>
      </c>
      <c r="S17" s="15" t="s">
        <v>70</v>
      </c>
    </row>
    <row r="18" spans="1:19" x14ac:dyDescent="0.35">
      <c r="A18" s="15" t="s">
        <v>29</v>
      </c>
      <c r="B18" s="7" t="s">
        <v>64</v>
      </c>
      <c r="C18" s="15" t="s">
        <v>15</v>
      </c>
      <c r="D18" s="15" t="s">
        <v>13</v>
      </c>
      <c r="E18" s="15" t="s">
        <v>32</v>
      </c>
      <c r="F18" s="17" t="s">
        <v>65</v>
      </c>
      <c r="G18" s="17" t="s">
        <v>66</v>
      </c>
      <c r="H18" s="15" t="s">
        <v>67</v>
      </c>
      <c r="I18" s="15" t="s">
        <v>91</v>
      </c>
      <c r="J18" s="18">
        <v>590.5</v>
      </c>
      <c r="K18" s="17" t="s">
        <v>69</v>
      </c>
      <c r="L18" s="19">
        <v>6.9</v>
      </c>
      <c r="M18" s="19">
        <v>13.2</v>
      </c>
      <c r="N18" s="19">
        <v>8.8000000000000007</v>
      </c>
      <c r="O18" s="20">
        <f t="shared" si="0"/>
        <v>28.900000000000002</v>
      </c>
      <c r="P18" s="21">
        <f t="shared" si="1"/>
        <v>0.23875432525951557</v>
      </c>
      <c r="Q18" s="22">
        <v>40.749000000000002</v>
      </c>
      <c r="R18" s="23">
        <f t="shared" si="2"/>
        <v>4.1404572396274348</v>
      </c>
      <c r="S18" s="15" t="s">
        <v>70</v>
      </c>
    </row>
    <row r="19" spans="1:19" x14ac:dyDescent="0.35">
      <c r="A19" s="15" t="s">
        <v>29</v>
      </c>
      <c r="B19" s="7" t="s">
        <v>64</v>
      </c>
      <c r="C19" s="15" t="s">
        <v>15</v>
      </c>
      <c r="D19" s="15" t="s">
        <v>13</v>
      </c>
      <c r="E19" s="15" t="s">
        <v>31</v>
      </c>
      <c r="F19" s="17" t="s">
        <v>74</v>
      </c>
      <c r="G19" s="17" t="s">
        <v>75</v>
      </c>
      <c r="H19" s="15" t="s">
        <v>76</v>
      </c>
      <c r="I19" s="15" t="s">
        <v>84</v>
      </c>
      <c r="J19" s="18" t="s">
        <v>78</v>
      </c>
      <c r="K19" s="17" t="s">
        <v>69</v>
      </c>
      <c r="L19" s="19">
        <v>31</v>
      </c>
      <c r="M19" s="19">
        <v>9.9</v>
      </c>
      <c r="N19" s="19">
        <v>8.4</v>
      </c>
      <c r="O19" s="20">
        <f t="shared" si="0"/>
        <v>49.3</v>
      </c>
      <c r="P19" s="21">
        <f t="shared" si="1"/>
        <v>0.62880324543610555</v>
      </c>
      <c r="Q19" s="24" t="s">
        <v>78</v>
      </c>
      <c r="R19" s="23" t="str">
        <f t="shared" si="2"/>
        <v/>
      </c>
      <c r="S19" s="15" t="s">
        <v>92</v>
      </c>
    </row>
    <row r="20" spans="1:19" x14ac:dyDescent="0.35">
      <c r="A20" s="15" t="s">
        <v>29</v>
      </c>
      <c r="B20" s="7" t="s">
        <v>64</v>
      </c>
      <c r="C20" s="15" t="s">
        <v>15</v>
      </c>
      <c r="D20" s="15" t="s">
        <v>13</v>
      </c>
      <c r="E20" s="15" t="s">
        <v>31</v>
      </c>
      <c r="F20" s="17" t="s">
        <v>74</v>
      </c>
      <c r="G20" s="17" t="s">
        <v>75</v>
      </c>
      <c r="H20" s="15" t="s">
        <v>76</v>
      </c>
      <c r="I20" s="15" t="s">
        <v>86</v>
      </c>
      <c r="J20" s="18" t="s">
        <v>78</v>
      </c>
      <c r="K20" s="17" t="s">
        <v>69</v>
      </c>
      <c r="L20" s="19">
        <v>11</v>
      </c>
      <c r="M20" s="19">
        <v>9.4</v>
      </c>
      <c r="N20" s="19">
        <v>10.8</v>
      </c>
      <c r="O20" s="20">
        <f t="shared" si="0"/>
        <v>31.2</v>
      </c>
      <c r="P20" s="21">
        <f t="shared" si="1"/>
        <v>0.35256410256410259</v>
      </c>
      <c r="Q20" s="24" t="s">
        <v>78</v>
      </c>
      <c r="R20" s="23" t="str">
        <f t="shared" si="2"/>
        <v/>
      </c>
      <c r="S20" s="15" t="s">
        <v>92</v>
      </c>
    </row>
    <row r="21" spans="1:19" x14ac:dyDescent="0.35">
      <c r="A21" s="15" t="s">
        <v>29</v>
      </c>
      <c r="B21" s="7" t="s">
        <v>64</v>
      </c>
      <c r="C21" s="15" t="s">
        <v>15</v>
      </c>
      <c r="D21" s="15" t="s">
        <v>13</v>
      </c>
      <c r="E21" s="15" t="s">
        <v>31</v>
      </c>
      <c r="F21" s="17" t="s">
        <v>81</v>
      </c>
      <c r="G21" s="17" t="s">
        <v>82</v>
      </c>
      <c r="H21" s="15" t="s">
        <v>83</v>
      </c>
      <c r="I21" s="15" t="s">
        <v>77</v>
      </c>
      <c r="J21" s="18">
        <v>600</v>
      </c>
      <c r="K21" s="17" t="s">
        <v>69</v>
      </c>
      <c r="L21" s="19">
        <v>10.1</v>
      </c>
      <c r="M21" s="19">
        <v>8.8000000000000007</v>
      </c>
      <c r="N21" s="19">
        <v>7.1</v>
      </c>
      <c r="O21" s="20">
        <f t="shared" si="0"/>
        <v>26</v>
      </c>
      <c r="P21" s="21">
        <f t="shared" si="1"/>
        <v>0.38846153846153847</v>
      </c>
      <c r="Q21" s="22">
        <v>43.819000000000003</v>
      </c>
      <c r="R21" s="23">
        <f t="shared" si="2"/>
        <v>4.3818999999999999</v>
      </c>
      <c r="S21" s="15" t="s">
        <v>70</v>
      </c>
    </row>
    <row r="22" spans="1:19" x14ac:dyDescent="0.35">
      <c r="A22" s="15" t="s">
        <v>29</v>
      </c>
      <c r="B22" s="7" t="s">
        <v>64</v>
      </c>
      <c r="C22" s="15" t="s">
        <v>15</v>
      </c>
      <c r="D22" s="15" t="s">
        <v>13</v>
      </c>
      <c r="E22" s="15" t="s">
        <v>31</v>
      </c>
      <c r="F22" s="17" t="s">
        <v>81</v>
      </c>
      <c r="G22" s="17" t="s">
        <v>82</v>
      </c>
      <c r="H22" s="15" t="s">
        <v>83</v>
      </c>
      <c r="I22" s="15" t="s">
        <v>79</v>
      </c>
      <c r="J22" s="18">
        <v>600</v>
      </c>
      <c r="K22" s="17" t="s">
        <v>69</v>
      </c>
      <c r="L22" s="19">
        <v>3.6</v>
      </c>
      <c r="M22" s="19">
        <v>13.6</v>
      </c>
      <c r="N22" s="19">
        <v>9.4</v>
      </c>
      <c r="O22" s="20">
        <f t="shared" si="0"/>
        <v>26.6</v>
      </c>
      <c r="P22" s="21">
        <f t="shared" si="1"/>
        <v>0.13533834586466165</v>
      </c>
      <c r="Q22" s="22">
        <v>29.204000000000001</v>
      </c>
      <c r="R22" s="23">
        <f t="shared" si="2"/>
        <v>2.9203999999999999</v>
      </c>
      <c r="S22" s="15" t="s">
        <v>70</v>
      </c>
    </row>
    <row r="23" spans="1:19" x14ac:dyDescent="0.35">
      <c r="A23" s="15" t="s">
        <v>29</v>
      </c>
      <c r="B23" s="7" t="s">
        <v>64</v>
      </c>
      <c r="C23" s="15" t="s">
        <v>15</v>
      </c>
      <c r="D23" s="15" t="s">
        <v>13</v>
      </c>
      <c r="E23" s="15" t="s">
        <v>31</v>
      </c>
      <c r="F23" s="17" t="s">
        <v>81</v>
      </c>
      <c r="G23" s="17" t="s">
        <v>82</v>
      </c>
      <c r="H23" s="15" t="s">
        <v>83</v>
      </c>
      <c r="I23" s="15" t="s">
        <v>80</v>
      </c>
      <c r="J23" s="25">
        <v>533.1</v>
      </c>
      <c r="K23" s="17" t="s">
        <v>69</v>
      </c>
      <c r="L23" s="19">
        <v>1.9</v>
      </c>
      <c r="M23" s="19">
        <v>2.2999999999999998</v>
      </c>
      <c r="N23" s="19">
        <v>7.6</v>
      </c>
      <c r="O23" s="20">
        <f t="shared" si="0"/>
        <v>11.799999999999999</v>
      </c>
      <c r="P23" s="21">
        <f t="shared" si="1"/>
        <v>0.16101694915254239</v>
      </c>
      <c r="Q23" s="22">
        <v>30.748999999999999</v>
      </c>
      <c r="R23" s="23">
        <f t="shared" si="2"/>
        <v>3.4607765897580189</v>
      </c>
      <c r="S23" s="15" t="s">
        <v>70</v>
      </c>
    </row>
    <row r="24" spans="1:19" x14ac:dyDescent="0.35">
      <c r="A24" s="15" t="s">
        <v>29</v>
      </c>
      <c r="B24" s="11" t="s">
        <v>93</v>
      </c>
      <c r="C24" s="15" t="s">
        <v>16</v>
      </c>
      <c r="D24" s="15" t="s">
        <v>12</v>
      </c>
      <c r="E24" s="15" t="s">
        <v>33</v>
      </c>
      <c r="F24" s="17" t="s">
        <v>65</v>
      </c>
      <c r="G24" s="17" t="s">
        <v>94</v>
      </c>
      <c r="H24" s="15" t="s">
        <v>95</v>
      </c>
      <c r="I24" s="15" t="s">
        <v>77</v>
      </c>
      <c r="J24" s="18">
        <v>599.1</v>
      </c>
      <c r="K24" s="17" t="s">
        <v>96</v>
      </c>
      <c r="L24" s="19">
        <v>12.2</v>
      </c>
      <c r="M24" s="19">
        <v>23.4</v>
      </c>
      <c r="N24" s="19">
        <v>12.1</v>
      </c>
      <c r="O24" s="20">
        <f t="shared" si="0"/>
        <v>47.699999999999996</v>
      </c>
      <c r="P24" s="21">
        <f t="shared" si="1"/>
        <v>0.25576519916142559</v>
      </c>
      <c r="Q24" s="22">
        <v>42.985999999999997</v>
      </c>
      <c r="R24" s="23">
        <f t="shared" si="2"/>
        <v>4.3050575863795686</v>
      </c>
      <c r="S24" s="15" t="s">
        <v>97</v>
      </c>
    </row>
    <row r="25" spans="1:19" x14ac:dyDescent="0.35">
      <c r="A25" s="15" t="s">
        <v>29</v>
      </c>
      <c r="B25" s="11" t="s">
        <v>93</v>
      </c>
      <c r="C25" s="15" t="s">
        <v>16</v>
      </c>
      <c r="D25" s="15" t="s">
        <v>12</v>
      </c>
      <c r="E25" s="15" t="s">
        <v>33</v>
      </c>
      <c r="F25" s="17" t="s">
        <v>65</v>
      </c>
      <c r="G25" s="17" t="s">
        <v>94</v>
      </c>
      <c r="H25" s="15" t="s">
        <v>95</v>
      </c>
      <c r="I25" s="15" t="s">
        <v>79</v>
      </c>
      <c r="J25" s="18">
        <v>599.1</v>
      </c>
      <c r="K25" s="17" t="s">
        <v>96</v>
      </c>
      <c r="L25" s="19">
        <v>33.6</v>
      </c>
      <c r="M25" s="19">
        <v>17.399999999999999</v>
      </c>
      <c r="N25" s="19">
        <v>26.6</v>
      </c>
      <c r="O25" s="20">
        <f t="shared" si="0"/>
        <v>77.599999999999994</v>
      </c>
      <c r="P25" s="21">
        <f t="shared" si="1"/>
        <v>0.43298969072164956</v>
      </c>
      <c r="Q25" s="22">
        <v>32.164999999999999</v>
      </c>
      <c r="R25" s="23">
        <f t="shared" si="2"/>
        <v>3.221331997996995</v>
      </c>
      <c r="S25" s="15" t="s">
        <v>97</v>
      </c>
    </row>
    <row r="26" spans="1:19" x14ac:dyDescent="0.35">
      <c r="A26" s="15" t="s">
        <v>29</v>
      </c>
      <c r="B26" s="11" t="s">
        <v>93</v>
      </c>
      <c r="C26" s="15" t="s">
        <v>16</v>
      </c>
      <c r="D26" s="15" t="s">
        <v>12</v>
      </c>
      <c r="E26" s="15" t="s">
        <v>33</v>
      </c>
      <c r="F26" s="17" t="s">
        <v>65</v>
      </c>
      <c r="G26" s="17" t="s">
        <v>94</v>
      </c>
      <c r="H26" s="15" t="s">
        <v>95</v>
      </c>
      <c r="I26" s="15" t="s">
        <v>80</v>
      </c>
      <c r="J26" s="18">
        <v>597.5</v>
      </c>
      <c r="K26" s="17" t="s">
        <v>96</v>
      </c>
      <c r="L26" s="19">
        <v>27.4</v>
      </c>
      <c r="M26" s="19">
        <v>16.2</v>
      </c>
      <c r="N26" s="19">
        <v>26.5</v>
      </c>
      <c r="O26" s="20">
        <f t="shared" si="0"/>
        <v>70.099999999999994</v>
      </c>
      <c r="P26" s="21">
        <f t="shared" si="1"/>
        <v>0.39087018544935809</v>
      </c>
      <c r="Q26" s="22">
        <v>48.313000000000002</v>
      </c>
      <c r="R26" s="23">
        <f t="shared" si="2"/>
        <v>4.8515146443514645</v>
      </c>
      <c r="S26" s="15" t="s">
        <v>97</v>
      </c>
    </row>
    <row r="27" spans="1:19" x14ac:dyDescent="0.35">
      <c r="A27" s="15" t="s">
        <v>29</v>
      </c>
      <c r="B27" s="11" t="s">
        <v>93</v>
      </c>
      <c r="C27" s="15" t="s">
        <v>16</v>
      </c>
      <c r="D27" s="15" t="s">
        <v>12</v>
      </c>
      <c r="E27" s="15" t="s">
        <v>33</v>
      </c>
      <c r="F27" s="17" t="s">
        <v>65</v>
      </c>
      <c r="G27" s="17" t="s">
        <v>94</v>
      </c>
      <c r="H27" s="15" t="s">
        <v>95</v>
      </c>
      <c r="I27" s="15" t="s">
        <v>84</v>
      </c>
      <c r="J27" s="18">
        <v>597.70000000000005</v>
      </c>
      <c r="K27" s="17" t="s">
        <v>96</v>
      </c>
      <c r="L27" s="19">
        <v>16.8</v>
      </c>
      <c r="M27" s="19">
        <v>11.8</v>
      </c>
      <c r="N27" s="19">
        <v>11.1</v>
      </c>
      <c r="O27" s="20">
        <f t="shared" si="0"/>
        <v>39.700000000000003</v>
      </c>
      <c r="P27" s="21">
        <f t="shared" si="1"/>
        <v>0.42317380352644834</v>
      </c>
      <c r="Q27" s="22">
        <v>39.033999999999999</v>
      </c>
      <c r="R27" s="23">
        <f t="shared" si="2"/>
        <v>3.9184206123473309</v>
      </c>
      <c r="S27" s="15" t="s">
        <v>97</v>
      </c>
    </row>
    <row r="28" spans="1:19" x14ac:dyDescent="0.35">
      <c r="A28" s="15" t="s">
        <v>29</v>
      </c>
      <c r="B28" s="11" t="s">
        <v>93</v>
      </c>
      <c r="C28" s="15" t="s">
        <v>16</v>
      </c>
      <c r="D28" s="15" t="s">
        <v>12</v>
      </c>
      <c r="E28" s="15" t="s">
        <v>28</v>
      </c>
      <c r="F28" s="17" t="s">
        <v>74</v>
      </c>
      <c r="G28" s="17" t="s">
        <v>98</v>
      </c>
      <c r="H28" s="15" t="s">
        <v>99</v>
      </c>
      <c r="I28" s="15" t="s">
        <v>100</v>
      </c>
      <c r="J28" s="18">
        <v>594.1</v>
      </c>
      <c r="K28" s="17" t="s">
        <v>101</v>
      </c>
      <c r="L28" s="19">
        <v>19.5</v>
      </c>
      <c r="M28" s="19">
        <v>18.2</v>
      </c>
      <c r="N28" s="19">
        <v>13.9</v>
      </c>
      <c r="O28" s="20">
        <f t="shared" si="0"/>
        <v>51.6</v>
      </c>
      <c r="P28" s="21">
        <f t="shared" si="1"/>
        <v>0.37790697674418605</v>
      </c>
      <c r="Q28" s="22">
        <v>58.421999999999997</v>
      </c>
      <c r="R28" s="23">
        <f t="shared" si="2"/>
        <v>5.9002188183807434</v>
      </c>
      <c r="S28" s="15" t="s">
        <v>102</v>
      </c>
    </row>
    <row r="29" spans="1:19" x14ac:dyDescent="0.35">
      <c r="A29" s="15" t="s">
        <v>29</v>
      </c>
      <c r="B29" s="11" t="s">
        <v>93</v>
      </c>
      <c r="C29" s="15" t="s">
        <v>16</v>
      </c>
      <c r="D29" s="15" t="s">
        <v>12</v>
      </c>
      <c r="E29" s="15" t="s">
        <v>28</v>
      </c>
      <c r="F29" s="17" t="s">
        <v>74</v>
      </c>
      <c r="G29" s="17" t="s">
        <v>98</v>
      </c>
      <c r="H29" s="15" t="s">
        <v>99</v>
      </c>
      <c r="I29" s="15" t="s">
        <v>103</v>
      </c>
      <c r="J29" s="18">
        <v>600</v>
      </c>
      <c r="K29" s="17" t="s">
        <v>101</v>
      </c>
      <c r="L29" s="19">
        <v>21.5</v>
      </c>
      <c r="M29" s="19">
        <v>24.5</v>
      </c>
      <c r="N29" s="19">
        <v>14.5</v>
      </c>
      <c r="O29" s="20">
        <f t="shared" si="0"/>
        <v>60.5</v>
      </c>
      <c r="P29" s="21">
        <f t="shared" si="1"/>
        <v>0.35537190082644626</v>
      </c>
      <c r="Q29" s="22">
        <v>47.865000000000002</v>
      </c>
      <c r="R29" s="23">
        <f t="shared" si="2"/>
        <v>4.7865000000000002</v>
      </c>
      <c r="S29" s="15" t="s">
        <v>102</v>
      </c>
    </row>
    <row r="30" spans="1:19" x14ac:dyDescent="0.35">
      <c r="A30" s="15" t="s">
        <v>29</v>
      </c>
      <c r="B30" s="11" t="s">
        <v>93</v>
      </c>
      <c r="C30" s="15" t="s">
        <v>16</v>
      </c>
      <c r="D30" s="15" t="s">
        <v>12</v>
      </c>
      <c r="E30" s="15" t="s">
        <v>28</v>
      </c>
      <c r="F30" s="17" t="s">
        <v>74</v>
      </c>
      <c r="G30" s="17" t="s">
        <v>98</v>
      </c>
      <c r="H30" s="15" t="s">
        <v>99</v>
      </c>
      <c r="I30" s="15" t="s">
        <v>104</v>
      </c>
      <c r="J30" s="18">
        <v>600</v>
      </c>
      <c r="K30" s="17" t="s">
        <v>101</v>
      </c>
      <c r="L30" s="19">
        <v>15.3</v>
      </c>
      <c r="M30" s="19">
        <v>22.1</v>
      </c>
      <c r="N30" s="19">
        <v>19.5</v>
      </c>
      <c r="O30" s="20">
        <f t="shared" si="0"/>
        <v>56.900000000000006</v>
      </c>
      <c r="P30" s="21">
        <f t="shared" si="1"/>
        <v>0.26889279437609842</v>
      </c>
      <c r="Q30" s="22">
        <v>63.972999999999999</v>
      </c>
      <c r="R30" s="23">
        <f t="shared" si="2"/>
        <v>6.3972999999999995</v>
      </c>
      <c r="S30" s="15" t="s">
        <v>102</v>
      </c>
    </row>
    <row r="31" spans="1:19" x14ac:dyDescent="0.35">
      <c r="A31" s="15" t="s">
        <v>29</v>
      </c>
      <c r="B31" s="11" t="s">
        <v>93</v>
      </c>
      <c r="C31" s="15" t="s">
        <v>16</v>
      </c>
      <c r="D31" s="15" t="s">
        <v>12</v>
      </c>
      <c r="E31" s="15" t="s">
        <v>30</v>
      </c>
      <c r="F31" s="17" t="s">
        <v>81</v>
      </c>
      <c r="G31" s="17" t="s">
        <v>105</v>
      </c>
      <c r="H31" s="15" t="s">
        <v>106</v>
      </c>
      <c r="I31" s="15" t="s">
        <v>107</v>
      </c>
      <c r="J31" s="18">
        <v>600</v>
      </c>
      <c r="K31" s="17" t="s">
        <v>108</v>
      </c>
      <c r="L31" s="19">
        <v>12.6</v>
      </c>
      <c r="M31" s="19">
        <v>8.3000000000000007</v>
      </c>
      <c r="N31" s="19">
        <v>10</v>
      </c>
      <c r="O31" s="20">
        <f t="shared" si="0"/>
        <v>30.9</v>
      </c>
      <c r="P31" s="21">
        <f t="shared" si="1"/>
        <v>0.40776699029126212</v>
      </c>
      <c r="Q31" s="22">
        <v>75.028999999999996</v>
      </c>
      <c r="R31" s="23">
        <f t="shared" si="2"/>
        <v>7.5028999999999995</v>
      </c>
      <c r="S31" s="15" t="s">
        <v>109</v>
      </c>
    </row>
    <row r="32" spans="1:19" x14ac:dyDescent="0.35">
      <c r="A32" s="15" t="s">
        <v>29</v>
      </c>
      <c r="B32" s="11" t="s">
        <v>93</v>
      </c>
      <c r="C32" s="15" t="s">
        <v>16</v>
      </c>
      <c r="D32" s="15" t="s">
        <v>12</v>
      </c>
      <c r="E32" s="15" t="s">
        <v>30</v>
      </c>
      <c r="F32" s="17" t="s">
        <v>81</v>
      </c>
      <c r="G32" s="17" t="s">
        <v>105</v>
      </c>
      <c r="H32" s="15" t="s">
        <v>106</v>
      </c>
      <c r="I32" s="15" t="s">
        <v>110</v>
      </c>
      <c r="J32" s="18">
        <v>600</v>
      </c>
      <c r="K32" s="17" t="s">
        <v>108</v>
      </c>
      <c r="L32" s="19">
        <v>2</v>
      </c>
      <c r="M32" s="19">
        <v>4.3</v>
      </c>
      <c r="N32" s="19">
        <v>15.2</v>
      </c>
      <c r="O32" s="20">
        <f t="shared" si="0"/>
        <v>21.5</v>
      </c>
      <c r="P32" s="21">
        <f t="shared" si="1"/>
        <v>9.3023255813953487E-2</v>
      </c>
      <c r="Q32" s="22">
        <v>60.576000000000001</v>
      </c>
      <c r="R32" s="23">
        <f t="shared" si="2"/>
        <v>6.0575999999999999</v>
      </c>
      <c r="S32" s="15" t="s">
        <v>109</v>
      </c>
    </row>
    <row r="33" spans="1:19" x14ac:dyDescent="0.35">
      <c r="A33" s="15" t="s">
        <v>29</v>
      </c>
      <c r="B33" s="11" t="s">
        <v>93</v>
      </c>
      <c r="C33" s="15" t="s">
        <v>16</v>
      </c>
      <c r="D33" s="15" t="s">
        <v>13</v>
      </c>
      <c r="E33" s="15" t="s">
        <v>33</v>
      </c>
      <c r="F33" s="17" t="s">
        <v>65</v>
      </c>
      <c r="G33" s="17" t="s">
        <v>94</v>
      </c>
      <c r="H33" s="15" t="s">
        <v>95</v>
      </c>
      <c r="I33" s="15" t="s">
        <v>86</v>
      </c>
      <c r="J33" s="18">
        <v>597.1</v>
      </c>
      <c r="K33" s="17" t="s">
        <v>96</v>
      </c>
      <c r="L33" s="19">
        <v>31.7</v>
      </c>
      <c r="M33" s="19">
        <v>17.2</v>
      </c>
      <c r="N33" s="19">
        <v>22.3</v>
      </c>
      <c r="O33" s="20">
        <f t="shared" si="0"/>
        <v>71.2</v>
      </c>
      <c r="P33" s="21">
        <f t="shared" si="1"/>
        <v>0.44522471910112354</v>
      </c>
      <c r="Q33" s="22">
        <v>44.305999999999997</v>
      </c>
      <c r="R33" s="23">
        <f t="shared" si="2"/>
        <v>4.4521185731033324</v>
      </c>
      <c r="S33" s="15" t="s">
        <v>97</v>
      </c>
    </row>
    <row r="34" spans="1:19" x14ac:dyDescent="0.35">
      <c r="A34" s="15" t="s">
        <v>29</v>
      </c>
      <c r="B34" s="11" t="s">
        <v>93</v>
      </c>
      <c r="C34" s="15" t="s">
        <v>16</v>
      </c>
      <c r="D34" s="15" t="s">
        <v>13</v>
      </c>
      <c r="E34" s="15" t="s">
        <v>33</v>
      </c>
      <c r="F34" s="17" t="s">
        <v>65</v>
      </c>
      <c r="G34" s="17" t="s">
        <v>94</v>
      </c>
      <c r="H34" s="15" t="s">
        <v>95</v>
      </c>
      <c r="I34" s="15" t="s">
        <v>111</v>
      </c>
      <c r="J34" s="18">
        <v>600</v>
      </c>
      <c r="K34" s="17" t="s">
        <v>96</v>
      </c>
      <c r="L34" s="19">
        <v>22.8</v>
      </c>
      <c r="M34" s="19">
        <v>7.7</v>
      </c>
      <c r="N34" s="19">
        <v>12.6</v>
      </c>
      <c r="O34" s="20">
        <f t="shared" si="0"/>
        <v>43.1</v>
      </c>
      <c r="P34" s="21">
        <f t="shared" si="1"/>
        <v>0.52900232018561488</v>
      </c>
      <c r="Q34" s="22">
        <v>50.594999999999999</v>
      </c>
      <c r="R34" s="23">
        <f t="shared" si="2"/>
        <v>5.0594999999999999</v>
      </c>
      <c r="S34" s="15" t="s">
        <v>97</v>
      </c>
    </row>
    <row r="35" spans="1:19" x14ac:dyDescent="0.35">
      <c r="A35" s="15" t="s">
        <v>29</v>
      </c>
      <c r="B35" s="11" t="s">
        <v>93</v>
      </c>
      <c r="C35" s="15" t="s">
        <v>16</v>
      </c>
      <c r="D35" s="15" t="s">
        <v>13</v>
      </c>
      <c r="E35" s="15" t="s">
        <v>33</v>
      </c>
      <c r="F35" s="17" t="s">
        <v>65</v>
      </c>
      <c r="G35" s="17" t="s">
        <v>94</v>
      </c>
      <c r="H35" s="15" t="s">
        <v>95</v>
      </c>
      <c r="I35" s="15" t="s">
        <v>112</v>
      </c>
      <c r="J35" s="18">
        <v>599.20000000000005</v>
      </c>
      <c r="K35" s="17" t="s">
        <v>96</v>
      </c>
      <c r="L35" s="19">
        <v>28.1</v>
      </c>
      <c r="M35" s="19">
        <v>15</v>
      </c>
      <c r="N35" s="19">
        <v>20</v>
      </c>
      <c r="O35" s="20">
        <f t="shared" si="0"/>
        <v>63.1</v>
      </c>
      <c r="P35" s="21">
        <f t="shared" si="1"/>
        <v>0.44532488114104596</v>
      </c>
      <c r="Q35" s="22">
        <v>36.915999999999997</v>
      </c>
      <c r="R35" s="23">
        <f t="shared" si="2"/>
        <v>3.6965287049399191</v>
      </c>
      <c r="S35" s="15" t="s">
        <v>97</v>
      </c>
    </row>
    <row r="36" spans="1:19" x14ac:dyDescent="0.35">
      <c r="A36" s="15" t="s">
        <v>29</v>
      </c>
      <c r="B36" s="11" t="s">
        <v>93</v>
      </c>
      <c r="C36" s="15" t="s">
        <v>16</v>
      </c>
      <c r="D36" s="15" t="s">
        <v>13</v>
      </c>
      <c r="E36" s="15" t="s">
        <v>33</v>
      </c>
      <c r="F36" s="17" t="s">
        <v>65</v>
      </c>
      <c r="G36" s="17" t="s">
        <v>94</v>
      </c>
      <c r="H36" s="15" t="s">
        <v>95</v>
      </c>
      <c r="I36" s="15" t="s">
        <v>113</v>
      </c>
      <c r="J36" s="18">
        <v>598.1</v>
      </c>
      <c r="K36" s="17" t="s">
        <v>96</v>
      </c>
      <c r="L36" s="19">
        <v>21.5</v>
      </c>
      <c r="M36" s="19">
        <v>18.600000000000001</v>
      </c>
      <c r="N36" s="19">
        <v>19.3</v>
      </c>
      <c r="O36" s="20">
        <f t="shared" si="0"/>
        <v>59.400000000000006</v>
      </c>
      <c r="P36" s="21">
        <f t="shared" si="1"/>
        <v>0.36195286195286192</v>
      </c>
      <c r="Q36" s="22">
        <v>42.927999999999997</v>
      </c>
      <c r="R36" s="23">
        <f t="shared" si="2"/>
        <v>4.3064370506604241</v>
      </c>
      <c r="S36" s="15" t="s">
        <v>97</v>
      </c>
    </row>
    <row r="37" spans="1:19" x14ac:dyDescent="0.35">
      <c r="A37" s="15" t="s">
        <v>29</v>
      </c>
      <c r="B37" s="11" t="s">
        <v>93</v>
      </c>
      <c r="C37" s="15" t="s">
        <v>16</v>
      </c>
      <c r="D37" s="15" t="s">
        <v>13</v>
      </c>
      <c r="E37" s="15" t="s">
        <v>30</v>
      </c>
      <c r="F37" s="17" t="s">
        <v>81</v>
      </c>
      <c r="G37" s="17" t="s">
        <v>105</v>
      </c>
      <c r="H37" s="15" t="s">
        <v>106</v>
      </c>
      <c r="I37" s="15" t="s">
        <v>114</v>
      </c>
      <c r="J37" s="18">
        <v>600</v>
      </c>
      <c r="K37" s="17" t="s">
        <v>108</v>
      </c>
      <c r="L37" s="19">
        <v>14.1</v>
      </c>
      <c r="M37" s="19">
        <v>31.1</v>
      </c>
      <c r="N37" s="19">
        <v>7.3</v>
      </c>
      <c r="O37" s="20">
        <f t="shared" ref="O37:O68" si="3">L37+M37+N37</f>
        <v>52.5</v>
      </c>
      <c r="P37" s="21">
        <f t="shared" ref="P37:P68" si="4">IF(O37=0,"",L37/O37)</f>
        <v>0.26857142857142857</v>
      </c>
      <c r="Q37" s="22">
        <v>48.844000000000001</v>
      </c>
      <c r="R37" s="23">
        <f t="shared" ref="R37:R68" si="5">IF(AND(ISNUMBER(Q37),ISNUMBER(J37)),Q37/(J37/60),"")</f>
        <v>4.8844000000000003</v>
      </c>
      <c r="S37" s="15" t="s">
        <v>109</v>
      </c>
    </row>
    <row r="38" spans="1:19" x14ac:dyDescent="0.35">
      <c r="A38" s="15" t="s">
        <v>29</v>
      </c>
      <c r="B38" s="11" t="s">
        <v>93</v>
      </c>
      <c r="C38" s="15" t="s">
        <v>16</v>
      </c>
      <c r="D38" s="15" t="s">
        <v>13</v>
      </c>
      <c r="E38" s="15" t="s">
        <v>30</v>
      </c>
      <c r="F38" s="17" t="s">
        <v>81</v>
      </c>
      <c r="G38" s="17" t="s">
        <v>105</v>
      </c>
      <c r="H38" s="15" t="s">
        <v>106</v>
      </c>
      <c r="I38" s="15" t="s">
        <v>115</v>
      </c>
      <c r="J38" s="18">
        <v>600</v>
      </c>
      <c r="K38" s="17" t="s">
        <v>108</v>
      </c>
      <c r="L38" s="19">
        <v>13.8</v>
      </c>
      <c r="M38" s="19">
        <v>20.6</v>
      </c>
      <c r="N38" s="19">
        <v>9.1</v>
      </c>
      <c r="O38" s="20">
        <f t="shared" si="3"/>
        <v>43.500000000000007</v>
      </c>
      <c r="P38" s="21">
        <f t="shared" si="4"/>
        <v>0.3172413793103448</v>
      </c>
      <c r="Q38" s="22">
        <v>72.034000000000006</v>
      </c>
      <c r="R38" s="23">
        <f t="shared" si="5"/>
        <v>7.2034000000000002</v>
      </c>
      <c r="S38" s="15" t="s">
        <v>109</v>
      </c>
    </row>
    <row r="39" spans="1:19" x14ac:dyDescent="0.35">
      <c r="A39" s="15" t="s">
        <v>29</v>
      </c>
      <c r="B39" s="11" t="s">
        <v>93</v>
      </c>
      <c r="C39" s="15" t="s">
        <v>16</v>
      </c>
      <c r="D39" s="15" t="s">
        <v>13</v>
      </c>
      <c r="E39" s="15" t="s">
        <v>30</v>
      </c>
      <c r="F39" s="17" t="s">
        <v>81</v>
      </c>
      <c r="G39" s="17" t="s">
        <v>105</v>
      </c>
      <c r="H39" s="15" t="s">
        <v>106</v>
      </c>
      <c r="I39" s="15" t="s">
        <v>116</v>
      </c>
      <c r="J39" s="18">
        <v>600</v>
      </c>
      <c r="K39" s="17" t="s">
        <v>108</v>
      </c>
      <c r="L39" s="19">
        <v>7.3</v>
      </c>
      <c r="M39" s="19">
        <v>34</v>
      </c>
      <c r="N39" s="19">
        <v>5.5</v>
      </c>
      <c r="O39" s="20">
        <f t="shared" si="3"/>
        <v>46.8</v>
      </c>
      <c r="P39" s="21">
        <f t="shared" si="4"/>
        <v>0.15598290598290598</v>
      </c>
      <c r="Q39" s="22">
        <v>59.41</v>
      </c>
      <c r="R39" s="23">
        <f t="shared" si="5"/>
        <v>5.9409999999999998</v>
      </c>
      <c r="S39" s="15" t="s">
        <v>109</v>
      </c>
    </row>
    <row r="40" spans="1:19" x14ac:dyDescent="0.35">
      <c r="A40" s="15" t="s">
        <v>29</v>
      </c>
      <c r="B40" s="11" t="s">
        <v>93</v>
      </c>
      <c r="C40" s="15" t="s">
        <v>16</v>
      </c>
      <c r="D40" s="15" t="s">
        <v>13</v>
      </c>
      <c r="E40" s="15" t="s">
        <v>28</v>
      </c>
      <c r="F40" s="17" t="s">
        <v>74</v>
      </c>
      <c r="G40" s="17" t="s">
        <v>98</v>
      </c>
      <c r="H40" s="15" t="s">
        <v>99</v>
      </c>
      <c r="I40" s="15" t="s">
        <v>117</v>
      </c>
      <c r="J40" s="18">
        <v>597.70000000000005</v>
      </c>
      <c r="K40" s="17" t="s">
        <v>101</v>
      </c>
      <c r="L40" s="19">
        <v>28.8</v>
      </c>
      <c r="M40" s="19">
        <v>18.600000000000001</v>
      </c>
      <c r="N40" s="19">
        <v>27.1</v>
      </c>
      <c r="O40" s="20">
        <f t="shared" si="3"/>
        <v>74.5</v>
      </c>
      <c r="P40" s="21">
        <f t="shared" si="4"/>
        <v>0.38657718120805368</v>
      </c>
      <c r="Q40" s="22">
        <v>56.348999999999997</v>
      </c>
      <c r="R40" s="23">
        <f t="shared" si="5"/>
        <v>5.6565835703530185</v>
      </c>
      <c r="S40" s="15" t="s">
        <v>102</v>
      </c>
    </row>
    <row r="41" spans="1:19" x14ac:dyDescent="0.35">
      <c r="A41" s="15" t="s">
        <v>29</v>
      </c>
      <c r="B41" s="11" t="s">
        <v>93</v>
      </c>
      <c r="C41" s="15" t="s">
        <v>16</v>
      </c>
      <c r="D41" s="15" t="s">
        <v>13</v>
      </c>
      <c r="E41" s="15" t="s">
        <v>28</v>
      </c>
      <c r="F41" s="17" t="s">
        <v>74</v>
      </c>
      <c r="G41" s="17" t="s">
        <v>98</v>
      </c>
      <c r="H41" s="15" t="s">
        <v>99</v>
      </c>
      <c r="I41" s="15" t="s">
        <v>118</v>
      </c>
      <c r="J41" s="18">
        <v>600</v>
      </c>
      <c r="K41" s="17" t="s">
        <v>101</v>
      </c>
      <c r="L41" s="19">
        <v>19.399999999999999</v>
      </c>
      <c r="M41" s="19">
        <v>30.9</v>
      </c>
      <c r="N41" s="19">
        <v>19.600000000000001</v>
      </c>
      <c r="O41" s="20">
        <f t="shared" si="3"/>
        <v>69.900000000000006</v>
      </c>
      <c r="P41" s="21">
        <f t="shared" si="4"/>
        <v>0.27753934191702428</v>
      </c>
      <c r="Q41" s="22">
        <v>70.731999999999999</v>
      </c>
      <c r="R41" s="23">
        <f t="shared" si="5"/>
        <v>7.0731999999999999</v>
      </c>
      <c r="S41" s="15" t="s">
        <v>102</v>
      </c>
    </row>
    <row r="42" spans="1:19" x14ac:dyDescent="0.35">
      <c r="A42" s="15" t="s">
        <v>29</v>
      </c>
      <c r="B42" s="12" t="s">
        <v>119</v>
      </c>
      <c r="C42" s="15" t="s">
        <v>17</v>
      </c>
      <c r="D42" s="15" t="s">
        <v>12</v>
      </c>
      <c r="E42" s="15" t="s">
        <v>32</v>
      </c>
      <c r="F42" s="17" t="s">
        <v>65</v>
      </c>
      <c r="G42" s="17" t="s">
        <v>66</v>
      </c>
      <c r="H42" s="15" t="s">
        <v>67</v>
      </c>
      <c r="I42" s="15" t="s">
        <v>120</v>
      </c>
      <c r="J42" s="18">
        <v>590.6</v>
      </c>
      <c r="K42" s="17" t="s">
        <v>69</v>
      </c>
      <c r="L42" s="19">
        <v>5.0999999999999996</v>
      </c>
      <c r="M42" s="19">
        <v>7.9</v>
      </c>
      <c r="N42" s="19">
        <v>9.8000000000000007</v>
      </c>
      <c r="O42" s="20">
        <f t="shared" si="3"/>
        <v>22.8</v>
      </c>
      <c r="P42" s="21">
        <f t="shared" si="4"/>
        <v>0.22368421052631576</v>
      </c>
      <c r="Q42" s="22">
        <v>45.588999999999999</v>
      </c>
      <c r="R42" s="23">
        <f t="shared" si="5"/>
        <v>4.6314595326786314</v>
      </c>
      <c r="S42" s="15" t="s">
        <v>70</v>
      </c>
    </row>
    <row r="43" spans="1:19" x14ac:dyDescent="0.35">
      <c r="A43" s="15" t="s">
        <v>29</v>
      </c>
      <c r="B43" s="12" t="s">
        <v>119</v>
      </c>
      <c r="C43" s="15" t="s">
        <v>17</v>
      </c>
      <c r="D43" s="15" t="s">
        <v>12</v>
      </c>
      <c r="E43" s="15" t="s">
        <v>32</v>
      </c>
      <c r="F43" s="17" t="s">
        <v>65</v>
      </c>
      <c r="G43" s="17" t="s">
        <v>66</v>
      </c>
      <c r="H43" s="15" t="s">
        <v>67</v>
      </c>
      <c r="I43" s="15" t="s">
        <v>121</v>
      </c>
      <c r="J43" s="18">
        <v>596.4</v>
      </c>
      <c r="K43" s="17" t="s">
        <v>69</v>
      </c>
      <c r="L43" s="19">
        <v>7.3</v>
      </c>
      <c r="M43" s="19">
        <v>3.2</v>
      </c>
      <c r="N43" s="19">
        <v>8.5</v>
      </c>
      <c r="O43" s="20">
        <f t="shared" si="3"/>
        <v>19</v>
      </c>
      <c r="P43" s="21">
        <f t="shared" si="4"/>
        <v>0.38421052631578945</v>
      </c>
      <c r="Q43" s="22">
        <v>39.704000000000001</v>
      </c>
      <c r="R43" s="23">
        <f t="shared" si="5"/>
        <v>3.994366197183099</v>
      </c>
      <c r="S43" s="15" t="s">
        <v>70</v>
      </c>
    </row>
    <row r="44" spans="1:19" x14ac:dyDescent="0.35">
      <c r="A44" s="15" t="s">
        <v>29</v>
      </c>
      <c r="B44" s="12" t="s">
        <v>119</v>
      </c>
      <c r="C44" s="15" t="s">
        <v>17</v>
      </c>
      <c r="D44" s="15" t="s">
        <v>12</v>
      </c>
      <c r="E44" s="15" t="s">
        <v>32</v>
      </c>
      <c r="F44" s="17" t="s">
        <v>65</v>
      </c>
      <c r="G44" s="17" t="s">
        <v>66</v>
      </c>
      <c r="H44" s="15" t="s">
        <v>67</v>
      </c>
      <c r="I44" s="15" t="s">
        <v>122</v>
      </c>
      <c r="J44" s="18">
        <v>599.20000000000005</v>
      </c>
      <c r="K44" s="17" t="s">
        <v>69</v>
      </c>
      <c r="L44" s="19">
        <v>4.0999999999999996</v>
      </c>
      <c r="M44" s="19">
        <v>10.1</v>
      </c>
      <c r="N44" s="19">
        <v>10.199999999999999</v>
      </c>
      <c r="O44" s="20">
        <f t="shared" si="3"/>
        <v>24.4</v>
      </c>
      <c r="P44" s="21">
        <f t="shared" si="4"/>
        <v>0.16803278688524589</v>
      </c>
      <c r="Q44" s="22">
        <v>49.822000000000003</v>
      </c>
      <c r="R44" s="23">
        <f t="shared" si="5"/>
        <v>4.9888518024032038</v>
      </c>
      <c r="S44" s="15" t="s">
        <v>70</v>
      </c>
    </row>
    <row r="45" spans="1:19" x14ac:dyDescent="0.35">
      <c r="A45" s="15" t="s">
        <v>29</v>
      </c>
      <c r="B45" s="12" t="s">
        <v>119</v>
      </c>
      <c r="C45" s="15" t="s">
        <v>17</v>
      </c>
      <c r="D45" s="15" t="s">
        <v>12</v>
      </c>
      <c r="E45" s="15" t="s">
        <v>32</v>
      </c>
      <c r="F45" s="17" t="s">
        <v>65</v>
      </c>
      <c r="G45" s="17" t="s">
        <v>66</v>
      </c>
      <c r="H45" s="15" t="s">
        <v>67</v>
      </c>
      <c r="I45" s="15" t="s">
        <v>123</v>
      </c>
      <c r="J45" s="18">
        <v>599.1</v>
      </c>
      <c r="K45" s="17" t="s">
        <v>69</v>
      </c>
      <c r="L45" s="19">
        <v>13.5</v>
      </c>
      <c r="M45" s="19">
        <v>7.9</v>
      </c>
      <c r="N45" s="19">
        <v>13.5</v>
      </c>
      <c r="O45" s="20">
        <f t="shared" si="3"/>
        <v>34.9</v>
      </c>
      <c r="P45" s="21">
        <f t="shared" si="4"/>
        <v>0.38681948424068768</v>
      </c>
      <c r="Q45" s="22">
        <v>43.933999999999997</v>
      </c>
      <c r="R45" s="23">
        <f t="shared" si="5"/>
        <v>4.3999999999999995</v>
      </c>
      <c r="S45" s="15" t="s">
        <v>70</v>
      </c>
    </row>
    <row r="46" spans="1:19" x14ac:dyDescent="0.35">
      <c r="A46" s="15" t="s">
        <v>29</v>
      </c>
      <c r="B46" s="12" t="s">
        <v>119</v>
      </c>
      <c r="C46" s="15" t="s">
        <v>17</v>
      </c>
      <c r="D46" s="15" t="s">
        <v>12</v>
      </c>
      <c r="E46" s="15" t="s">
        <v>32</v>
      </c>
      <c r="F46" s="17" t="s">
        <v>65</v>
      </c>
      <c r="G46" s="17" t="s">
        <v>66</v>
      </c>
      <c r="H46" s="15" t="s">
        <v>67</v>
      </c>
      <c r="I46" s="15" t="s">
        <v>124</v>
      </c>
      <c r="J46" s="18">
        <v>600</v>
      </c>
      <c r="K46" s="17" t="s">
        <v>69</v>
      </c>
      <c r="L46" s="19">
        <v>10.5</v>
      </c>
      <c r="M46" s="19">
        <v>13.5</v>
      </c>
      <c r="N46" s="19">
        <v>5.5</v>
      </c>
      <c r="O46" s="20">
        <f t="shared" si="3"/>
        <v>29.5</v>
      </c>
      <c r="P46" s="21">
        <f t="shared" si="4"/>
        <v>0.3559322033898305</v>
      </c>
      <c r="Q46" s="22">
        <v>25.751999999999999</v>
      </c>
      <c r="R46" s="23">
        <f t="shared" si="5"/>
        <v>2.5751999999999997</v>
      </c>
      <c r="S46" s="15" t="s">
        <v>70</v>
      </c>
    </row>
    <row r="47" spans="1:19" x14ac:dyDescent="0.35">
      <c r="A47" s="15" t="s">
        <v>29</v>
      </c>
      <c r="B47" s="12" t="s">
        <v>119</v>
      </c>
      <c r="C47" s="15" t="s">
        <v>17</v>
      </c>
      <c r="D47" s="15" t="s">
        <v>12</v>
      </c>
      <c r="E47" s="15" t="s">
        <v>28</v>
      </c>
      <c r="F47" s="17" t="s">
        <v>74</v>
      </c>
      <c r="G47" s="17" t="s">
        <v>98</v>
      </c>
      <c r="H47" s="15" t="s">
        <v>99</v>
      </c>
      <c r="I47" s="15" t="s">
        <v>125</v>
      </c>
      <c r="J47" s="18">
        <v>600</v>
      </c>
      <c r="K47" s="17" t="s">
        <v>101</v>
      </c>
      <c r="L47" s="19">
        <v>19.8</v>
      </c>
      <c r="M47" s="19">
        <v>29.9</v>
      </c>
      <c r="N47" s="19">
        <v>20.3</v>
      </c>
      <c r="O47" s="20">
        <f t="shared" si="3"/>
        <v>70</v>
      </c>
      <c r="P47" s="21">
        <f t="shared" si="4"/>
        <v>0.28285714285714286</v>
      </c>
      <c r="Q47" s="22">
        <v>55.009</v>
      </c>
      <c r="R47" s="23">
        <f t="shared" si="5"/>
        <v>5.5008999999999997</v>
      </c>
      <c r="S47" s="15" t="s">
        <v>102</v>
      </c>
    </row>
    <row r="48" spans="1:19" x14ac:dyDescent="0.35">
      <c r="A48" s="15" t="s">
        <v>29</v>
      </c>
      <c r="B48" s="12" t="s">
        <v>119</v>
      </c>
      <c r="C48" s="15" t="s">
        <v>17</v>
      </c>
      <c r="D48" s="15" t="s">
        <v>12</v>
      </c>
      <c r="E48" s="15" t="s">
        <v>28</v>
      </c>
      <c r="F48" s="17" t="s">
        <v>74</v>
      </c>
      <c r="G48" s="17" t="s">
        <v>98</v>
      </c>
      <c r="H48" s="15" t="s">
        <v>99</v>
      </c>
      <c r="I48" s="15" t="s">
        <v>126</v>
      </c>
      <c r="J48" s="18">
        <v>600</v>
      </c>
      <c r="K48" s="17" t="s">
        <v>101</v>
      </c>
      <c r="L48" s="19">
        <v>34.799999999999997</v>
      </c>
      <c r="M48" s="19">
        <v>14.8</v>
      </c>
      <c r="N48" s="19">
        <v>23.8</v>
      </c>
      <c r="O48" s="20">
        <f t="shared" si="3"/>
        <v>73.399999999999991</v>
      </c>
      <c r="P48" s="21">
        <f t="shared" si="4"/>
        <v>0.47411444141689374</v>
      </c>
      <c r="Q48" s="22">
        <v>53.389000000000003</v>
      </c>
      <c r="R48" s="23">
        <f t="shared" si="5"/>
        <v>5.3389000000000006</v>
      </c>
      <c r="S48" s="15" t="s">
        <v>102</v>
      </c>
    </row>
    <row r="49" spans="1:19" x14ac:dyDescent="0.35">
      <c r="A49" s="15" t="s">
        <v>29</v>
      </c>
      <c r="B49" s="12" t="s">
        <v>119</v>
      </c>
      <c r="C49" s="15" t="s">
        <v>17</v>
      </c>
      <c r="D49" s="15" t="s">
        <v>12</v>
      </c>
      <c r="E49" s="15" t="s">
        <v>28</v>
      </c>
      <c r="F49" s="17" t="s">
        <v>74</v>
      </c>
      <c r="G49" s="17" t="s">
        <v>98</v>
      </c>
      <c r="H49" s="15" t="s">
        <v>99</v>
      </c>
      <c r="I49" s="15" t="s">
        <v>127</v>
      </c>
      <c r="J49" s="18">
        <v>600</v>
      </c>
      <c r="K49" s="17" t="s">
        <v>101</v>
      </c>
      <c r="L49" s="19">
        <v>43.8</v>
      </c>
      <c r="M49" s="19">
        <v>18</v>
      </c>
      <c r="N49" s="19">
        <v>34.6</v>
      </c>
      <c r="O49" s="20">
        <f t="shared" si="3"/>
        <v>96.4</v>
      </c>
      <c r="P49" s="21">
        <f t="shared" si="4"/>
        <v>0.45435684647302899</v>
      </c>
      <c r="Q49" s="22">
        <v>39.914000000000001</v>
      </c>
      <c r="R49" s="23">
        <f t="shared" si="5"/>
        <v>3.9914000000000001</v>
      </c>
      <c r="S49" s="15" t="s">
        <v>102</v>
      </c>
    </row>
    <row r="50" spans="1:19" x14ac:dyDescent="0.35">
      <c r="A50" s="15" t="s">
        <v>29</v>
      </c>
      <c r="B50" s="12" t="s">
        <v>119</v>
      </c>
      <c r="C50" s="15" t="s">
        <v>17</v>
      </c>
      <c r="D50" s="15" t="s">
        <v>12</v>
      </c>
      <c r="E50" s="15" t="s">
        <v>30</v>
      </c>
      <c r="F50" s="17" t="s">
        <v>81</v>
      </c>
      <c r="G50" s="17" t="s">
        <v>105</v>
      </c>
      <c r="H50" s="15" t="s">
        <v>106</v>
      </c>
      <c r="I50" s="15" t="s">
        <v>128</v>
      </c>
      <c r="J50" s="18">
        <v>600</v>
      </c>
      <c r="K50" s="17" t="s">
        <v>108</v>
      </c>
      <c r="L50" s="19">
        <v>7.9</v>
      </c>
      <c r="M50" s="19">
        <v>8.9</v>
      </c>
      <c r="N50" s="19">
        <v>10.1</v>
      </c>
      <c r="O50" s="20">
        <f t="shared" si="3"/>
        <v>26.9</v>
      </c>
      <c r="P50" s="21">
        <f t="shared" si="4"/>
        <v>0.29368029739776952</v>
      </c>
      <c r="Q50" s="22">
        <v>60.164000000000001</v>
      </c>
      <c r="R50" s="23">
        <f t="shared" si="5"/>
        <v>6.0164</v>
      </c>
      <c r="S50" s="15" t="s">
        <v>109</v>
      </c>
    </row>
    <row r="51" spans="1:19" x14ac:dyDescent="0.35">
      <c r="A51" s="15" t="s">
        <v>29</v>
      </c>
      <c r="B51" s="12" t="s">
        <v>119</v>
      </c>
      <c r="C51" s="15" t="s">
        <v>17</v>
      </c>
      <c r="D51" s="15" t="s">
        <v>12</v>
      </c>
      <c r="E51" s="15" t="s">
        <v>30</v>
      </c>
      <c r="F51" s="17" t="s">
        <v>81</v>
      </c>
      <c r="G51" s="17" t="s">
        <v>105</v>
      </c>
      <c r="H51" s="15" t="s">
        <v>106</v>
      </c>
      <c r="I51" s="15" t="s">
        <v>129</v>
      </c>
      <c r="J51" s="18">
        <v>600</v>
      </c>
      <c r="K51" s="17" t="s">
        <v>108</v>
      </c>
      <c r="L51" s="19">
        <v>14.5</v>
      </c>
      <c r="M51" s="19">
        <v>10.4</v>
      </c>
      <c r="N51" s="19">
        <v>12.1</v>
      </c>
      <c r="O51" s="20">
        <f t="shared" si="3"/>
        <v>37</v>
      </c>
      <c r="P51" s="21">
        <f t="shared" si="4"/>
        <v>0.39189189189189189</v>
      </c>
      <c r="Q51" s="22">
        <v>53.881999999999998</v>
      </c>
      <c r="R51" s="23">
        <f t="shared" si="5"/>
        <v>5.3881999999999994</v>
      </c>
      <c r="S51" s="15" t="s">
        <v>109</v>
      </c>
    </row>
    <row r="52" spans="1:19" x14ac:dyDescent="0.35">
      <c r="A52" s="15" t="s">
        <v>29</v>
      </c>
      <c r="B52" s="12" t="s">
        <v>119</v>
      </c>
      <c r="C52" s="15" t="s">
        <v>17</v>
      </c>
      <c r="D52" s="15" t="s">
        <v>13</v>
      </c>
      <c r="E52" s="15" t="s">
        <v>32</v>
      </c>
      <c r="F52" s="17" t="s">
        <v>65</v>
      </c>
      <c r="G52" s="17" t="s">
        <v>66</v>
      </c>
      <c r="H52" s="15" t="s">
        <v>67</v>
      </c>
      <c r="I52" s="15" t="s">
        <v>130</v>
      </c>
      <c r="J52" s="18">
        <v>593.29999999999995</v>
      </c>
      <c r="K52" s="17" t="s">
        <v>69</v>
      </c>
      <c r="L52" s="19">
        <v>11.6</v>
      </c>
      <c r="M52" s="19">
        <v>10.7</v>
      </c>
      <c r="N52" s="19">
        <v>6</v>
      </c>
      <c r="O52" s="20">
        <f t="shared" si="3"/>
        <v>28.299999999999997</v>
      </c>
      <c r="P52" s="21">
        <f t="shared" si="4"/>
        <v>0.40989399293286222</v>
      </c>
      <c r="Q52" s="22">
        <v>31.207999999999998</v>
      </c>
      <c r="R52" s="23">
        <f t="shared" si="5"/>
        <v>3.1560424742963091</v>
      </c>
      <c r="S52" s="15" t="s">
        <v>70</v>
      </c>
    </row>
    <row r="53" spans="1:19" x14ac:dyDescent="0.35">
      <c r="A53" s="15" t="s">
        <v>29</v>
      </c>
      <c r="B53" s="12" t="s">
        <v>119</v>
      </c>
      <c r="C53" s="15" t="s">
        <v>17</v>
      </c>
      <c r="D53" s="15" t="s">
        <v>13</v>
      </c>
      <c r="E53" s="15" t="s">
        <v>32</v>
      </c>
      <c r="F53" s="17" t="s">
        <v>65</v>
      </c>
      <c r="G53" s="17" t="s">
        <v>66</v>
      </c>
      <c r="H53" s="15" t="s">
        <v>67</v>
      </c>
      <c r="I53" s="15" t="s">
        <v>131</v>
      </c>
      <c r="J53" s="25">
        <v>588.9</v>
      </c>
      <c r="K53" s="17" t="s">
        <v>69</v>
      </c>
      <c r="L53" s="19">
        <v>14.9</v>
      </c>
      <c r="M53" s="19">
        <v>20.3</v>
      </c>
      <c r="N53" s="19">
        <v>15</v>
      </c>
      <c r="O53" s="20">
        <f t="shared" si="3"/>
        <v>50.2</v>
      </c>
      <c r="P53" s="21">
        <f t="shared" si="4"/>
        <v>0.29681274900398408</v>
      </c>
      <c r="Q53" s="22">
        <v>37.981000000000002</v>
      </c>
      <c r="R53" s="23">
        <f t="shared" si="5"/>
        <v>3.8696892511462053</v>
      </c>
      <c r="S53" s="15" t="s">
        <v>70</v>
      </c>
    </row>
    <row r="54" spans="1:19" x14ac:dyDescent="0.35">
      <c r="A54" s="15" t="s">
        <v>29</v>
      </c>
      <c r="B54" s="12" t="s">
        <v>119</v>
      </c>
      <c r="C54" s="15" t="s">
        <v>17</v>
      </c>
      <c r="D54" s="15" t="s">
        <v>13</v>
      </c>
      <c r="E54" s="15" t="s">
        <v>32</v>
      </c>
      <c r="F54" s="17" t="s">
        <v>65</v>
      </c>
      <c r="G54" s="17" t="s">
        <v>66</v>
      </c>
      <c r="H54" s="15" t="s">
        <v>67</v>
      </c>
      <c r="I54" s="15" t="s">
        <v>132</v>
      </c>
      <c r="J54" s="25">
        <v>571.70000000000005</v>
      </c>
      <c r="K54" s="17" t="s">
        <v>69</v>
      </c>
      <c r="L54" s="19">
        <v>13.6</v>
      </c>
      <c r="M54" s="19">
        <v>10.7</v>
      </c>
      <c r="N54" s="19">
        <v>12.2</v>
      </c>
      <c r="O54" s="20">
        <f t="shared" si="3"/>
        <v>36.5</v>
      </c>
      <c r="P54" s="21">
        <f t="shared" si="4"/>
        <v>0.37260273972602737</v>
      </c>
      <c r="Q54" s="22">
        <v>50.570999999999998</v>
      </c>
      <c r="R54" s="23">
        <f t="shared" si="5"/>
        <v>5.3074339688647889</v>
      </c>
      <c r="S54" s="15" t="s">
        <v>70</v>
      </c>
    </row>
    <row r="55" spans="1:19" x14ac:dyDescent="0.35">
      <c r="A55" s="15" t="s">
        <v>29</v>
      </c>
      <c r="B55" s="12" t="s">
        <v>119</v>
      </c>
      <c r="C55" s="15" t="s">
        <v>17</v>
      </c>
      <c r="D55" s="15" t="s">
        <v>13</v>
      </c>
      <c r="E55" s="15" t="s">
        <v>32</v>
      </c>
      <c r="F55" s="17" t="s">
        <v>65</v>
      </c>
      <c r="G55" s="17" t="s">
        <v>66</v>
      </c>
      <c r="H55" s="15" t="s">
        <v>67</v>
      </c>
      <c r="I55" s="15" t="s">
        <v>133</v>
      </c>
      <c r="J55" s="18">
        <v>594.79999999999995</v>
      </c>
      <c r="K55" s="17" t="s">
        <v>69</v>
      </c>
      <c r="L55" s="19">
        <v>11.1</v>
      </c>
      <c r="M55" s="19">
        <v>7</v>
      </c>
      <c r="N55" s="19">
        <v>9.9</v>
      </c>
      <c r="O55" s="20">
        <f t="shared" si="3"/>
        <v>28</v>
      </c>
      <c r="P55" s="21">
        <f t="shared" si="4"/>
        <v>0.39642857142857141</v>
      </c>
      <c r="Q55" s="22">
        <v>46.558999999999997</v>
      </c>
      <c r="R55" s="23">
        <f t="shared" si="5"/>
        <v>4.6966039004707465</v>
      </c>
      <c r="S55" s="15" t="s">
        <v>70</v>
      </c>
    </row>
    <row r="56" spans="1:19" x14ac:dyDescent="0.35">
      <c r="A56" s="15" t="s">
        <v>29</v>
      </c>
      <c r="B56" s="12" t="s">
        <v>119</v>
      </c>
      <c r="C56" s="15" t="s">
        <v>17</v>
      </c>
      <c r="D56" s="15" t="s">
        <v>13</v>
      </c>
      <c r="E56" s="15" t="s">
        <v>32</v>
      </c>
      <c r="F56" s="17" t="s">
        <v>65</v>
      </c>
      <c r="G56" s="17" t="s">
        <v>66</v>
      </c>
      <c r="H56" s="15" t="s">
        <v>67</v>
      </c>
      <c r="I56" s="15" t="s">
        <v>134</v>
      </c>
      <c r="J56" s="25">
        <v>589</v>
      </c>
      <c r="K56" s="17" t="s">
        <v>69</v>
      </c>
      <c r="L56" s="19">
        <v>16.5</v>
      </c>
      <c r="M56" s="19">
        <v>4.8</v>
      </c>
      <c r="N56" s="19">
        <v>1.4</v>
      </c>
      <c r="O56" s="20">
        <f t="shared" si="3"/>
        <v>22.7</v>
      </c>
      <c r="P56" s="21">
        <f t="shared" si="4"/>
        <v>0.72687224669603523</v>
      </c>
      <c r="Q56" s="22">
        <v>40.524999999999999</v>
      </c>
      <c r="R56" s="23">
        <f t="shared" si="5"/>
        <v>4.1281833616298815</v>
      </c>
      <c r="S56" s="15" t="s">
        <v>70</v>
      </c>
    </row>
    <row r="57" spans="1:19" x14ac:dyDescent="0.35">
      <c r="A57" s="15" t="s">
        <v>29</v>
      </c>
      <c r="B57" s="12" t="s">
        <v>119</v>
      </c>
      <c r="C57" s="15" t="s">
        <v>17</v>
      </c>
      <c r="D57" s="15" t="s">
        <v>13</v>
      </c>
      <c r="E57" s="15" t="s">
        <v>30</v>
      </c>
      <c r="F57" s="17" t="s">
        <v>81</v>
      </c>
      <c r="G57" s="17" t="s">
        <v>105</v>
      </c>
      <c r="H57" s="15" t="s">
        <v>106</v>
      </c>
      <c r="I57" s="15" t="s">
        <v>135</v>
      </c>
      <c r="J57" s="18">
        <v>600</v>
      </c>
      <c r="K57" s="17" t="s">
        <v>108</v>
      </c>
      <c r="L57" s="19">
        <v>6.2</v>
      </c>
      <c r="M57" s="19">
        <v>5.7</v>
      </c>
      <c r="N57" s="19">
        <v>4.5</v>
      </c>
      <c r="O57" s="20">
        <f t="shared" si="3"/>
        <v>16.399999999999999</v>
      </c>
      <c r="P57" s="21">
        <f t="shared" si="4"/>
        <v>0.37804878048780494</v>
      </c>
      <c r="Q57" s="22">
        <v>66.286000000000001</v>
      </c>
      <c r="R57" s="23">
        <f t="shared" si="5"/>
        <v>6.6286000000000005</v>
      </c>
      <c r="S57" s="15" t="s">
        <v>109</v>
      </c>
    </row>
    <row r="58" spans="1:19" x14ac:dyDescent="0.35">
      <c r="A58" s="15" t="s">
        <v>29</v>
      </c>
      <c r="B58" s="12" t="s">
        <v>119</v>
      </c>
      <c r="C58" s="15" t="s">
        <v>17</v>
      </c>
      <c r="D58" s="15" t="s">
        <v>13</v>
      </c>
      <c r="E58" s="15" t="s">
        <v>30</v>
      </c>
      <c r="F58" s="17" t="s">
        <v>81</v>
      </c>
      <c r="G58" s="17" t="s">
        <v>105</v>
      </c>
      <c r="H58" s="15" t="s">
        <v>106</v>
      </c>
      <c r="I58" s="15" t="s">
        <v>136</v>
      </c>
      <c r="J58" s="18">
        <v>600</v>
      </c>
      <c r="K58" s="17" t="s">
        <v>108</v>
      </c>
      <c r="L58" s="19">
        <v>7.2</v>
      </c>
      <c r="M58" s="19">
        <v>7.8</v>
      </c>
      <c r="N58" s="19">
        <v>2.5</v>
      </c>
      <c r="O58" s="20">
        <f t="shared" si="3"/>
        <v>17.5</v>
      </c>
      <c r="P58" s="21">
        <f t="shared" si="4"/>
        <v>0.41142857142857142</v>
      </c>
      <c r="Q58" s="22">
        <v>77.772999999999996</v>
      </c>
      <c r="R58" s="23">
        <f t="shared" si="5"/>
        <v>7.7772999999999994</v>
      </c>
      <c r="S58" s="15" t="s">
        <v>109</v>
      </c>
    </row>
    <row r="59" spans="1:19" x14ac:dyDescent="0.35">
      <c r="A59" s="15" t="s">
        <v>29</v>
      </c>
      <c r="B59" s="12" t="s">
        <v>119</v>
      </c>
      <c r="C59" s="15" t="s">
        <v>17</v>
      </c>
      <c r="D59" s="15" t="s">
        <v>13</v>
      </c>
      <c r="E59" s="15" t="s">
        <v>30</v>
      </c>
      <c r="F59" s="17" t="s">
        <v>81</v>
      </c>
      <c r="G59" s="17" t="s">
        <v>105</v>
      </c>
      <c r="H59" s="15" t="s">
        <v>106</v>
      </c>
      <c r="I59" s="15" t="s">
        <v>137</v>
      </c>
      <c r="J59" s="18">
        <v>600</v>
      </c>
      <c r="K59" s="17" t="s">
        <v>108</v>
      </c>
      <c r="L59" s="19">
        <v>13.9</v>
      </c>
      <c r="M59" s="19">
        <v>34.6</v>
      </c>
      <c r="N59" s="19">
        <v>15.9</v>
      </c>
      <c r="O59" s="20">
        <f t="shared" si="3"/>
        <v>64.400000000000006</v>
      </c>
      <c r="P59" s="21">
        <f t="shared" si="4"/>
        <v>0.21583850931677018</v>
      </c>
      <c r="Q59" s="22">
        <v>51.384</v>
      </c>
      <c r="R59" s="23">
        <f t="shared" si="5"/>
        <v>5.1383999999999999</v>
      </c>
      <c r="S59" s="15" t="s">
        <v>109</v>
      </c>
    </row>
    <row r="60" spans="1:19" x14ac:dyDescent="0.35">
      <c r="A60" s="15" t="s">
        <v>29</v>
      </c>
      <c r="B60" s="12" t="s">
        <v>119</v>
      </c>
      <c r="C60" s="15" t="s">
        <v>17</v>
      </c>
      <c r="D60" s="15" t="s">
        <v>13</v>
      </c>
      <c r="E60" s="15" t="s">
        <v>28</v>
      </c>
      <c r="F60" s="17" t="s">
        <v>74</v>
      </c>
      <c r="G60" s="17" t="s">
        <v>98</v>
      </c>
      <c r="H60" s="15" t="s">
        <v>99</v>
      </c>
      <c r="I60" s="15" t="s">
        <v>138</v>
      </c>
      <c r="J60" s="18">
        <v>595.5</v>
      </c>
      <c r="K60" s="17" t="s">
        <v>101</v>
      </c>
      <c r="L60" s="19">
        <v>18.899999999999999</v>
      </c>
      <c r="M60" s="19">
        <v>13.9</v>
      </c>
      <c r="N60" s="19">
        <v>19.600000000000001</v>
      </c>
      <c r="O60" s="20">
        <f t="shared" si="3"/>
        <v>52.4</v>
      </c>
      <c r="P60" s="21">
        <f t="shared" si="4"/>
        <v>0.36068702290076332</v>
      </c>
      <c r="Q60" s="22">
        <v>44.295000000000002</v>
      </c>
      <c r="R60" s="23">
        <f t="shared" si="5"/>
        <v>4.4629722921914352</v>
      </c>
      <c r="S60" s="15" t="s">
        <v>102</v>
      </c>
    </row>
    <row r="61" spans="1:19" x14ac:dyDescent="0.35">
      <c r="A61" s="15" t="s">
        <v>29</v>
      </c>
      <c r="B61" s="12" t="s">
        <v>119</v>
      </c>
      <c r="C61" s="15" t="s">
        <v>17</v>
      </c>
      <c r="D61" s="15" t="s">
        <v>13</v>
      </c>
      <c r="E61" s="15" t="s">
        <v>28</v>
      </c>
      <c r="F61" s="17" t="s">
        <v>74</v>
      </c>
      <c r="G61" s="17" t="s">
        <v>98</v>
      </c>
      <c r="H61" s="15" t="s">
        <v>99</v>
      </c>
      <c r="I61" s="15" t="s">
        <v>139</v>
      </c>
      <c r="J61" s="18">
        <v>600</v>
      </c>
      <c r="K61" s="17" t="s">
        <v>101</v>
      </c>
      <c r="L61" s="19">
        <v>31.5</v>
      </c>
      <c r="M61" s="19">
        <v>25.1</v>
      </c>
      <c r="N61" s="19">
        <v>26.6</v>
      </c>
      <c r="O61" s="20">
        <f t="shared" si="3"/>
        <v>83.2</v>
      </c>
      <c r="P61" s="21">
        <f t="shared" si="4"/>
        <v>0.37860576923076922</v>
      </c>
      <c r="Q61" s="22">
        <v>50.722000000000001</v>
      </c>
      <c r="R61" s="23">
        <f t="shared" si="5"/>
        <v>5.0722000000000005</v>
      </c>
      <c r="S61" s="15" t="s">
        <v>102</v>
      </c>
    </row>
    <row r="62" spans="1:19" x14ac:dyDescent="0.35">
      <c r="A62" s="15" t="s">
        <v>35</v>
      </c>
      <c r="B62" s="7" t="s">
        <v>64</v>
      </c>
      <c r="C62" s="15" t="s">
        <v>18</v>
      </c>
      <c r="D62" s="15" t="s">
        <v>12</v>
      </c>
      <c r="E62" s="15" t="s">
        <v>37</v>
      </c>
      <c r="F62" s="17" t="s">
        <v>65</v>
      </c>
      <c r="G62" s="17" t="s">
        <v>140</v>
      </c>
      <c r="H62" s="15" t="s">
        <v>141</v>
      </c>
      <c r="I62" s="15" t="s">
        <v>142</v>
      </c>
      <c r="J62" s="18">
        <v>600</v>
      </c>
      <c r="K62" s="17" t="s">
        <v>143</v>
      </c>
      <c r="L62" s="19">
        <v>6.7</v>
      </c>
      <c r="M62" s="19">
        <v>10.4</v>
      </c>
      <c r="N62" s="19">
        <v>7.4</v>
      </c>
      <c r="O62" s="20">
        <f t="shared" si="3"/>
        <v>24.5</v>
      </c>
      <c r="P62" s="21">
        <f t="shared" si="4"/>
        <v>0.27346938775510204</v>
      </c>
      <c r="Q62" s="24" t="s">
        <v>78</v>
      </c>
      <c r="R62" s="23" t="str">
        <f t="shared" si="5"/>
        <v/>
      </c>
      <c r="S62" s="15" t="s">
        <v>144</v>
      </c>
    </row>
    <row r="63" spans="1:19" x14ac:dyDescent="0.35">
      <c r="A63" s="15" t="s">
        <v>35</v>
      </c>
      <c r="B63" s="7" t="s">
        <v>64</v>
      </c>
      <c r="C63" s="15" t="s">
        <v>18</v>
      </c>
      <c r="D63" s="15" t="s">
        <v>12</v>
      </c>
      <c r="E63" s="15" t="s">
        <v>37</v>
      </c>
      <c r="F63" s="17" t="s">
        <v>65</v>
      </c>
      <c r="G63" s="17" t="s">
        <v>140</v>
      </c>
      <c r="H63" s="15" t="s">
        <v>141</v>
      </c>
      <c r="I63" s="15" t="s">
        <v>145</v>
      </c>
      <c r="J63" s="18">
        <v>600</v>
      </c>
      <c r="K63" s="17" t="s">
        <v>143</v>
      </c>
      <c r="L63" s="19">
        <v>26</v>
      </c>
      <c r="M63" s="19">
        <v>9.5</v>
      </c>
      <c r="N63" s="19">
        <v>8.8000000000000007</v>
      </c>
      <c r="O63" s="20">
        <f t="shared" si="3"/>
        <v>44.3</v>
      </c>
      <c r="P63" s="21">
        <f t="shared" si="4"/>
        <v>0.58690744920993232</v>
      </c>
      <c r="Q63" s="22">
        <v>28.981000000000002</v>
      </c>
      <c r="R63" s="23">
        <f t="shared" si="5"/>
        <v>2.8981000000000003</v>
      </c>
      <c r="S63" s="15" t="s">
        <v>144</v>
      </c>
    </row>
    <row r="64" spans="1:19" x14ac:dyDescent="0.35">
      <c r="A64" s="15" t="s">
        <v>35</v>
      </c>
      <c r="B64" s="7" t="s">
        <v>64</v>
      </c>
      <c r="C64" s="15" t="s">
        <v>18</v>
      </c>
      <c r="D64" s="15" t="s">
        <v>12</v>
      </c>
      <c r="E64" s="15" t="s">
        <v>37</v>
      </c>
      <c r="F64" s="17" t="s">
        <v>65</v>
      </c>
      <c r="G64" s="17" t="s">
        <v>140</v>
      </c>
      <c r="H64" s="15" t="s">
        <v>141</v>
      </c>
      <c r="I64" s="15" t="s">
        <v>146</v>
      </c>
      <c r="J64" s="18">
        <v>600</v>
      </c>
      <c r="K64" s="17" t="s">
        <v>143</v>
      </c>
      <c r="L64" s="19">
        <v>31.1</v>
      </c>
      <c r="M64" s="19">
        <v>14.9</v>
      </c>
      <c r="N64" s="19">
        <v>13.8</v>
      </c>
      <c r="O64" s="20">
        <f t="shared" si="3"/>
        <v>59.8</v>
      </c>
      <c r="P64" s="21">
        <f t="shared" si="4"/>
        <v>0.52006688963210712</v>
      </c>
      <c r="Q64" s="22">
        <v>25.324999999999999</v>
      </c>
      <c r="R64" s="23">
        <f t="shared" si="5"/>
        <v>2.5324999999999998</v>
      </c>
      <c r="S64" s="15" t="s">
        <v>144</v>
      </c>
    </row>
    <row r="65" spans="1:19" x14ac:dyDescent="0.35">
      <c r="A65" s="15" t="s">
        <v>35</v>
      </c>
      <c r="B65" s="7" t="s">
        <v>64</v>
      </c>
      <c r="C65" s="15" t="s">
        <v>18</v>
      </c>
      <c r="D65" s="15" t="s">
        <v>12</v>
      </c>
      <c r="E65" s="15" t="s">
        <v>37</v>
      </c>
      <c r="F65" s="17" t="s">
        <v>65</v>
      </c>
      <c r="G65" s="17" t="s">
        <v>140</v>
      </c>
      <c r="H65" s="15" t="s">
        <v>141</v>
      </c>
      <c r="I65" s="15" t="s">
        <v>147</v>
      </c>
      <c r="J65" s="25">
        <v>402</v>
      </c>
      <c r="K65" s="17" t="s">
        <v>143</v>
      </c>
      <c r="L65" s="19">
        <v>19.100000000000001</v>
      </c>
      <c r="M65" s="19">
        <v>26.4</v>
      </c>
      <c r="N65" s="19">
        <v>22.4</v>
      </c>
      <c r="O65" s="20">
        <f t="shared" si="3"/>
        <v>67.900000000000006</v>
      </c>
      <c r="P65" s="21">
        <f t="shared" si="4"/>
        <v>0.2812960235640648</v>
      </c>
      <c r="Q65" s="22">
        <v>28.245999999999999</v>
      </c>
      <c r="R65" s="23">
        <f t="shared" si="5"/>
        <v>4.2158208955223877</v>
      </c>
      <c r="S65" s="15" t="s">
        <v>144</v>
      </c>
    </row>
    <row r="66" spans="1:19" x14ac:dyDescent="0.35">
      <c r="A66" s="15" t="s">
        <v>35</v>
      </c>
      <c r="B66" s="7" t="s">
        <v>64</v>
      </c>
      <c r="C66" s="15" t="s">
        <v>18</v>
      </c>
      <c r="D66" s="15" t="s">
        <v>12</v>
      </c>
      <c r="E66" s="15" t="s">
        <v>37</v>
      </c>
      <c r="F66" s="17" t="s">
        <v>65</v>
      </c>
      <c r="G66" s="17" t="s">
        <v>140</v>
      </c>
      <c r="H66" s="15" t="s">
        <v>141</v>
      </c>
      <c r="I66" s="15" t="s">
        <v>87</v>
      </c>
      <c r="J66" s="18">
        <v>600</v>
      </c>
      <c r="K66" s="17" t="s">
        <v>143</v>
      </c>
      <c r="L66" s="19">
        <v>21.7</v>
      </c>
      <c r="M66" s="19">
        <v>14.4</v>
      </c>
      <c r="N66" s="19">
        <v>36</v>
      </c>
      <c r="O66" s="20">
        <f t="shared" si="3"/>
        <v>72.099999999999994</v>
      </c>
      <c r="P66" s="21">
        <f t="shared" si="4"/>
        <v>0.3009708737864078</v>
      </c>
      <c r="Q66" s="22">
        <v>27.795999999999999</v>
      </c>
      <c r="R66" s="23">
        <f t="shared" si="5"/>
        <v>2.7795999999999998</v>
      </c>
      <c r="S66" s="15" t="s">
        <v>144</v>
      </c>
    </row>
    <row r="67" spans="1:19" x14ac:dyDescent="0.35">
      <c r="A67" s="15" t="s">
        <v>35</v>
      </c>
      <c r="B67" s="7" t="s">
        <v>64</v>
      </c>
      <c r="C67" s="15" t="s">
        <v>18</v>
      </c>
      <c r="D67" s="15" t="s">
        <v>12</v>
      </c>
      <c r="E67" s="15" t="s">
        <v>36</v>
      </c>
      <c r="F67" s="17" t="s">
        <v>74</v>
      </c>
      <c r="G67" s="17" t="s">
        <v>148</v>
      </c>
      <c r="H67" s="15" t="s">
        <v>149</v>
      </c>
      <c r="I67" s="15" t="s">
        <v>77</v>
      </c>
      <c r="J67" s="18">
        <v>600</v>
      </c>
      <c r="K67" s="17" t="s">
        <v>108</v>
      </c>
      <c r="L67" s="19">
        <v>12.7</v>
      </c>
      <c r="M67" s="19">
        <v>18.3</v>
      </c>
      <c r="N67" s="19">
        <v>7</v>
      </c>
      <c r="O67" s="20">
        <f t="shared" si="3"/>
        <v>38</v>
      </c>
      <c r="P67" s="21">
        <f t="shared" si="4"/>
        <v>0.33421052631578946</v>
      </c>
      <c r="Q67" s="22">
        <v>34.189</v>
      </c>
      <c r="R67" s="23">
        <f t="shared" si="5"/>
        <v>3.4188999999999998</v>
      </c>
      <c r="S67" s="15" t="s">
        <v>150</v>
      </c>
    </row>
    <row r="68" spans="1:19" x14ac:dyDescent="0.35">
      <c r="A68" s="15" t="s">
        <v>35</v>
      </c>
      <c r="B68" s="7" t="s">
        <v>64</v>
      </c>
      <c r="C68" s="15" t="s">
        <v>18</v>
      </c>
      <c r="D68" s="15" t="s">
        <v>12</v>
      </c>
      <c r="E68" s="15" t="s">
        <v>36</v>
      </c>
      <c r="F68" s="17" t="s">
        <v>74</v>
      </c>
      <c r="G68" s="17" t="s">
        <v>148</v>
      </c>
      <c r="H68" s="15" t="s">
        <v>149</v>
      </c>
      <c r="I68" s="15" t="s">
        <v>79</v>
      </c>
      <c r="J68" s="18">
        <v>600</v>
      </c>
      <c r="K68" s="17" t="s">
        <v>108</v>
      </c>
      <c r="L68" s="19">
        <v>29.9</v>
      </c>
      <c r="M68" s="19">
        <v>15.1</v>
      </c>
      <c r="N68" s="19">
        <v>9.3000000000000007</v>
      </c>
      <c r="O68" s="20">
        <f t="shared" si="3"/>
        <v>54.3</v>
      </c>
      <c r="P68" s="21">
        <f t="shared" si="4"/>
        <v>0.55064456721915289</v>
      </c>
      <c r="Q68" s="22">
        <v>33.276000000000003</v>
      </c>
      <c r="R68" s="23">
        <f t="shared" si="5"/>
        <v>3.3276000000000003</v>
      </c>
      <c r="S68" s="15" t="s">
        <v>150</v>
      </c>
    </row>
    <row r="69" spans="1:19" x14ac:dyDescent="0.35">
      <c r="A69" s="15" t="s">
        <v>35</v>
      </c>
      <c r="B69" s="7" t="s">
        <v>64</v>
      </c>
      <c r="C69" s="15" t="s">
        <v>18</v>
      </c>
      <c r="D69" s="15" t="s">
        <v>12</v>
      </c>
      <c r="E69" s="15" t="s">
        <v>36</v>
      </c>
      <c r="F69" s="17" t="s">
        <v>74</v>
      </c>
      <c r="G69" s="17" t="s">
        <v>148</v>
      </c>
      <c r="H69" s="15" t="s">
        <v>149</v>
      </c>
      <c r="I69" s="15" t="s">
        <v>80</v>
      </c>
      <c r="J69" s="18">
        <v>600</v>
      </c>
      <c r="K69" s="17" t="s">
        <v>108</v>
      </c>
      <c r="L69" s="19">
        <v>7.6</v>
      </c>
      <c r="M69" s="19">
        <v>7</v>
      </c>
      <c r="N69" s="19">
        <v>11.3</v>
      </c>
      <c r="O69" s="20">
        <f t="shared" ref="O69:O100" si="6">L69+M69+N69</f>
        <v>25.9</v>
      </c>
      <c r="P69" s="21">
        <f t="shared" ref="P69:P100" si="7">IF(O69=0,"",L69/O69)</f>
        <v>0.29343629343629346</v>
      </c>
      <c r="Q69" s="22">
        <v>32.579000000000001</v>
      </c>
      <c r="R69" s="23">
        <f t="shared" ref="R69:R100" si="8">IF(AND(ISNUMBER(Q69),ISNUMBER(J69)),Q69/(J69/60),"")</f>
        <v>3.2579000000000002</v>
      </c>
      <c r="S69" s="15" t="s">
        <v>150</v>
      </c>
    </row>
    <row r="70" spans="1:19" x14ac:dyDescent="0.35">
      <c r="A70" s="15" t="s">
        <v>35</v>
      </c>
      <c r="B70" s="7" t="s">
        <v>64</v>
      </c>
      <c r="C70" s="15" t="s">
        <v>18</v>
      </c>
      <c r="D70" s="15" t="s">
        <v>12</v>
      </c>
      <c r="E70" s="15" t="s">
        <v>36</v>
      </c>
      <c r="F70" s="17" t="s">
        <v>81</v>
      </c>
      <c r="G70" s="17" t="s">
        <v>151</v>
      </c>
      <c r="H70" s="15" t="s">
        <v>152</v>
      </c>
      <c r="I70" s="15" t="s">
        <v>84</v>
      </c>
      <c r="J70" s="18">
        <v>600</v>
      </c>
      <c r="K70" s="17" t="s">
        <v>153</v>
      </c>
      <c r="L70" s="19">
        <v>7.2</v>
      </c>
      <c r="M70" s="19">
        <v>11.3</v>
      </c>
      <c r="N70" s="19">
        <v>5.4</v>
      </c>
      <c r="O70" s="20">
        <f t="shared" si="6"/>
        <v>23.9</v>
      </c>
      <c r="P70" s="21">
        <f t="shared" si="7"/>
        <v>0.30125523012552302</v>
      </c>
      <c r="Q70" s="22">
        <v>29.239000000000001</v>
      </c>
      <c r="R70" s="23">
        <f t="shared" si="8"/>
        <v>2.9239000000000002</v>
      </c>
      <c r="S70" s="15" t="s">
        <v>154</v>
      </c>
    </row>
    <row r="71" spans="1:19" x14ac:dyDescent="0.35">
      <c r="A71" s="15" t="s">
        <v>35</v>
      </c>
      <c r="B71" s="7" t="s">
        <v>64</v>
      </c>
      <c r="C71" s="15" t="s">
        <v>18</v>
      </c>
      <c r="D71" s="15" t="s">
        <v>12</v>
      </c>
      <c r="E71" s="15" t="s">
        <v>36</v>
      </c>
      <c r="F71" s="17" t="s">
        <v>81</v>
      </c>
      <c r="G71" s="17" t="s">
        <v>151</v>
      </c>
      <c r="H71" s="15" t="s">
        <v>152</v>
      </c>
      <c r="I71" s="15" t="s">
        <v>86</v>
      </c>
      <c r="J71" s="18">
        <v>600</v>
      </c>
      <c r="K71" s="17" t="s">
        <v>153</v>
      </c>
      <c r="L71" s="19">
        <v>4.0999999999999996</v>
      </c>
      <c r="M71" s="19">
        <v>6.4</v>
      </c>
      <c r="N71" s="19">
        <v>7.6</v>
      </c>
      <c r="O71" s="20">
        <f t="shared" si="6"/>
        <v>18.100000000000001</v>
      </c>
      <c r="P71" s="21">
        <f t="shared" si="7"/>
        <v>0.22651933701657453</v>
      </c>
      <c r="Q71" s="22">
        <v>28.946999999999999</v>
      </c>
      <c r="R71" s="23">
        <f t="shared" si="8"/>
        <v>2.8946999999999998</v>
      </c>
      <c r="S71" s="15" t="s">
        <v>154</v>
      </c>
    </row>
    <row r="72" spans="1:19" x14ac:dyDescent="0.35">
      <c r="A72" s="15" t="s">
        <v>35</v>
      </c>
      <c r="B72" s="7" t="s">
        <v>64</v>
      </c>
      <c r="C72" s="15" t="s">
        <v>18</v>
      </c>
      <c r="D72" s="15" t="s">
        <v>13</v>
      </c>
      <c r="E72" s="15" t="s">
        <v>37</v>
      </c>
      <c r="F72" s="17" t="s">
        <v>65</v>
      </c>
      <c r="G72" s="17" t="s">
        <v>140</v>
      </c>
      <c r="H72" s="15" t="s">
        <v>155</v>
      </c>
      <c r="I72" s="15" t="s">
        <v>88</v>
      </c>
      <c r="J72" s="18">
        <v>600</v>
      </c>
      <c r="K72" s="17" t="s">
        <v>143</v>
      </c>
      <c r="L72" s="19">
        <v>9.3000000000000007</v>
      </c>
      <c r="M72" s="19">
        <v>19</v>
      </c>
      <c r="N72" s="19">
        <v>9.6</v>
      </c>
      <c r="O72" s="20">
        <f t="shared" si="6"/>
        <v>37.9</v>
      </c>
      <c r="P72" s="21">
        <f t="shared" si="7"/>
        <v>0.24538258575197891</v>
      </c>
      <c r="Q72" s="22">
        <v>19.167999999999999</v>
      </c>
      <c r="R72" s="23">
        <f t="shared" si="8"/>
        <v>1.9167999999999998</v>
      </c>
      <c r="S72" s="15" t="s">
        <v>144</v>
      </c>
    </row>
    <row r="73" spans="1:19" x14ac:dyDescent="0.35">
      <c r="A73" s="15" t="s">
        <v>35</v>
      </c>
      <c r="B73" s="7" t="s">
        <v>64</v>
      </c>
      <c r="C73" s="15" t="s">
        <v>18</v>
      </c>
      <c r="D73" s="15" t="s">
        <v>13</v>
      </c>
      <c r="E73" s="15" t="s">
        <v>37</v>
      </c>
      <c r="F73" s="17" t="s">
        <v>65</v>
      </c>
      <c r="G73" s="17" t="s">
        <v>140</v>
      </c>
      <c r="H73" s="15" t="s">
        <v>155</v>
      </c>
      <c r="I73" s="15" t="s">
        <v>89</v>
      </c>
      <c r="J73" s="18">
        <v>600</v>
      </c>
      <c r="K73" s="17" t="s">
        <v>143</v>
      </c>
      <c r="L73" s="19">
        <v>30.8</v>
      </c>
      <c r="M73" s="19">
        <v>4.8</v>
      </c>
      <c r="N73" s="19">
        <v>8.8000000000000007</v>
      </c>
      <c r="O73" s="20">
        <f t="shared" si="6"/>
        <v>44.400000000000006</v>
      </c>
      <c r="P73" s="21">
        <f t="shared" si="7"/>
        <v>0.6936936936936936</v>
      </c>
      <c r="Q73" s="22">
        <v>25.859000000000002</v>
      </c>
      <c r="R73" s="23">
        <f t="shared" si="8"/>
        <v>2.5859000000000001</v>
      </c>
      <c r="S73" s="15" t="s">
        <v>144</v>
      </c>
    </row>
    <row r="74" spans="1:19" x14ac:dyDescent="0.35">
      <c r="A74" s="15" t="s">
        <v>35</v>
      </c>
      <c r="B74" s="7" t="s">
        <v>64</v>
      </c>
      <c r="C74" s="15" t="s">
        <v>18</v>
      </c>
      <c r="D74" s="15" t="s">
        <v>13</v>
      </c>
      <c r="E74" s="15" t="s">
        <v>37</v>
      </c>
      <c r="F74" s="17" t="s">
        <v>65</v>
      </c>
      <c r="G74" s="17" t="s">
        <v>140</v>
      </c>
      <c r="H74" s="15" t="s">
        <v>155</v>
      </c>
      <c r="I74" s="15" t="s">
        <v>90</v>
      </c>
      <c r="J74" s="18">
        <v>600</v>
      </c>
      <c r="K74" s="17" t="s">
        <v>143</v>
      </c>
      <c r="L74" s="19">
        <v>15.8</v>
      </c>
      <c r="M74" s="19">
        <v>9.5</v>
      </c>
      <c r="N74" s="19">
        <v>4.8</v>
      </c>
      <c r="O74" s="20">
        <f t="shared" si="6"/>
        <v>30.1</v>
      </c>
      <c r="P74" s="21">
        <f t="shared" si="7"/>
        <v>0.52491694352159468</v>
      </c>
      <c r="Q74" s="22">
        <v>19.943999999999999</v>
      </c>
      <c r="R74" s="23">
        <f t="shared" si="8"/>
        <v>1.9944</v>
      </c>
      <c r="S74" s="15" t="s">
        <v>144</v>
      </c>
    </row>
    <row r="75" spans="1:19" x14ac:dyDescent="0.35">
      <c r="A75" s="15" t="s">
        <v>35</v>
      </c>
      <c r="B75" s="7" t="s">
        <v>64</v>
      </c>
      <c r="C75" s="15" t="s">
        <v>18</v>
      </c>
      <c r="D75" s="15" t="s">
        <v>13</v>
      </c>
      <c r="E75" s="15" t="s">
        <v>37</v>
      </c>
      <c r="F75" s="17" t="s">
        <v>65</v>
      </c>
      <c r="G75" s="17" t="s">
        <v>140</v>
      </c>
      <c r="H75" s="15" t="s">
        <v>155</v>
      </c>
      <c r="I75" s="15" t="s">
        <v>91</v>
      </c>
      <c r="J75" s="18">
        <v>600</v>
      </c>
      <c r="K75" s="17" t="s">
        <v>143</v>
      </c>
      <c r="L75" s="19">
        <v>12.8</v>
      </c>
      <c r="M75" s="19">
        <v>7.4</v>
      </c>
      <c r="N75" s="19">
        <v>5.8</v>
      </c>
      <c r="O75" s="20">
        <f t="shared" si="6"/>
        <v>26.000000000000004</v>
      </c>
      <c r="P75" s="21">
        <f t="shared" si="7"/>
        <v>0.49230769230769228</v>
      </c>
      <c r="Q75" s="22">
        <v>20.044</v>
      </c>
      <c r="R75" s="23">
        <f t="shared" si="8"/>
        <v>2.0044</v>
      </c>
      <c r="S75" s="15" t="s">
        <v>144</v>
      </c>
    </row>
    <row r="76" spans="1:19" x14ac:dyDescent="0.35">
      <c r="A76" s="15" t="s">
        <v>35</v>
      </c>
      <c r="B76" s="7" t="s">
        <v>64</v>
      </c>
      <c r="C76" s="15" t="s">
        <v>18</v>
      </c>
      <c r="D76" s="15" t="s">
        <v>13</v>
      </c>
      <c r="E76" s="15" t="s">
        <v>37</v>
      </c>
      <c r="F76" s="17" t="s">
        <v>65</v>
      </c>
      <c r="G76" s="17" t="s">
        <v>140</v>
      </c>
      <c r="H76" s="15" t="s">
        <v>155</v>
      </c>
      <c r="I76" s="15" t="s">
        <v>156</v>
      </c>
      <c r="J76" s="18">
        <v>600</v>
      </c>
      <c r="K76" s="17" t="s">
        <v>143</v>
      </c>
      <c r="L76" s="19">
        <v>16.899999999999999</v>
      </c>
      <c r="M76" s="19">
        <v>8.6</v>
      </c>
      <c r="N76" s="19">
        <v>10.199999999999999</v>
      </c>
      <c r="O76" s="20">
        <f t="shared" si="6"/>
        <v>35.700000000000003</v>
      </c>
      <c r="P76" s="21">
        <f t="shared" si="7"/>
        <v>0.47338935574229685</v>
      </c>
      <c r="Q76" s="22">
        <v>17.818999999999999</v>
      </c>
      <c r="R76" s="23">
        <f t="shared" si="8"/>
        <v>1.7818999999999998</v>
      </c>
      <c r="S76" s="15" t="s">
        <v>144</v>
      </c>
    </row>
    <row r="77" spans="1:19" x14ac:dyDescent="0.35">
      <c r="A77" s="15" t="s">
        <v>35</v>
      </c>
      <c r="B77" s="7" t="s">
        <v>64</v>
      </c>
      <c r="C77" s="15" t="s">
        <v>18</v>
      </c>
      <c r="D77" s="15" t="s">
        <v>13</v>
      </c>
      <c r="E77" s="15" t="s">
        <v>36</v>
      </c>
      <c r="F77" s="17" t="s">
        <v>81</v>
      </c>
      <c r="G77" s="17" t="s">
        <v>151</v>
      </c>
      <c r="H77" s="15" t="s">
        <v>152</v>
      </c>
      <c r="I77" s="15" t="s">
        <v>77</v>
      </c>
      <c r="J77" s="18">
        <v>600</v>
      </c>
      <c r="K77" s="17" t="s">
        <v>153</v>
      </c>
      <c r="L77" s="19">
        <v>6.9</v>
      </c>
      <c r="M77" s="19">
        <v>3.4</v>
      </c>
      <c r="N77" s="19">
        <v>7.6</v>
      </c>
      <c r="O77" s="20">
        <f t="shared" si="6"/>
        <v>17.899999999999999</v>
      </c>
      <c r="P77" s="21">
        <f t="shared" si="7"/>
        <v>0.38547486033519557</v>
      </c>
      <c r="Q77" s="22">
        <v>30.626000000000001</v>
      </c>
      <c r="R77" s="23">
        <f t="shared" si="8"/>
        <v>3.0626000000000002</v>
      </c>
      <c r="S77" s="15" t="s">
        <v>157</v>
      </c>
    </row>
    <row r="78" spans="1:19" x14ac:dyDescent="0.35">
      <c r="A78" s="15" t="s">
        <v>35</v>
      </c>
      <c r="B78" s="7" t="s">
        <v>64</v>
      </c>
      <c r="C78" s="15" t="s">
        <v>18</v>
      </c>
      <c r="D78" s="15" t="s">
        <v>13</v>
      </c>
      <c r="E78" s="15" t="s">
        <v>36</v>
      </c>
      <c r="F78" s="17" t="s">
        <v>81</v>
      </c>
      <c r="G78" s="17" t="s">
        <v>151</v>
      </c>
      <c r="H78" s="15" t="s">
        <v>152</v>
      </c>
      <c r="I78" s="15" t="s">
        <v>79</v>
      </c>
      <c r="J78" s="18">
        <v>600</v>
      </c>
      <c r="K78" s="17" t="s">
        <v>153</v>
      </c>
      <c r="L78" s="19">
        <v>6.8</v>
      </c>
      <c r="M78" s="19">
        <v>3.3</v>
      </c>
      <c r="N78" s="19">
        <v>6</v>
      </c>
      <c r="O78" s="20">
        <f t="shared" si="6"/>
        <v>16.100000000000001</v>
      </c>
      <c r="P78" s="21">
        <f t="shared" si="7"/>
        <v>0.42236024844720493</v>
      </c>
      <c r="Q78" s="22">
        <v>31.042000000000002</v>
      </c>
      <c r="R78" s="23">
        <f t="shared" si="8"/>
        <v>3.1042000000000001</v>
      </c>
      <c r="S78" s="15" t="s">
        <v>157</v>
      </c>
    </row>
    <row r="79" spans="1:19" x14ac:dyDescent="0.35">
      <c r="A79" s="15" t="s">
        <v>35</v>
      </c>
      <c r="B79" s="7" t="s">
        <v>64</v>
      </c>
      <c r="C79" s="15" t="s">
        <v>18</v>
      </c>
      <c r="D79" s="15" t="s">
        <v>13</v>
      </c>
      <c r="E79" s="15" t="s">
        <v>36</v>
      </c>
      <c r="F79" s="17" t="s">
        <v>81</v>
      </c>
      <c r="G79" s="17" t="s">
        <v>151</v>
      </c>
      <c r="H79" s="15" t="s">
        <v>152</v>
      </c>
      <c r="I79" s="15" t="s">
        <v>80</v>
      </c>
      <c r="J79" s="18">
        <v>600</v>
      </c>
      <c r="K79" s="17" t="s">
        <v>153</v>
      </c>
      <c r="L79" s="19">
        <v>10.1</v>
      </c>
      <c r="M79" s="19">
        <v>5.7</v>
      </c>
      <c r="N79" s="19">
        <v>5.0999999999999996</v>
      </c>
      <c r="O79" s="20">
        <f t="shared" si="6"/>
        <v>20.9</v>
      </c>
      <c r="P79" s="21">
        <f t="shared" si="7"/>
        <v>0.48325358851674644</v>
      </c>
      <c r="Q79" s="22">
        <v>32.191000000000003</v>
      </c>
      <c r="R79" s="23">
        <f t="shared" si="8"/>
        <v>3.2191000000000001</v>
      </c>
      <c r="S79" s="15" t="s">
        <v>157</v>
      </c>
    </row>
    <row r="80" spans="1:19" x14ac:dyDescent="0.35">
      <c r="A80" s="15" t="s">
        <v>35</v>
      </c>
      <c r="B80" s="7" t="s">
        <v>64</v>
      </c>
      <c r="C80" s="15" t="s">
        <v>18</v>
      </c>
      <c r="D80" s="15" t="s">
        <v>13</v>
      </c>
      <c r="E80" s="15" t="s">
        <v>36</v>
      </c>
      <c r="F80" s="17" t="s">
        <v>74</v>
      </c>
      <c r="G80" s="17" t="s">
        <v>148</v>
      </c>
      <c r="H80" s="15" t="s">
        <v>149</v>
      </c>
      <c r="I80" s="15" t="s">
        <v>84</v>
      </c>
      <c r="J80" s="18">
        <v>600</v>
      </c>
      <c r="K80" s="17" t="s">
        <v>108</v>
      </c>
      <c r="L80" s="19">
        <v>11.4</v>
      </c>
      <c r="M80" s="19">
        <v>7.4</v>
      </c>
      <c r="N80" s="19">
        <v>8.3000000000000007</v>
      </c>
      <c r="O80" s="20">
        <f t="shared" si="6"/>
        <v>27.1</v>
      </c>
      <c r="P80" s="21">
        <f t="shared" si="7"/>
        <v>0.42066420664206639</v>
      </c>
      <c r="Q80" s="22">
        <v>31.65</v>
      </c>
      <c r="R80" s="23">
        <f t="shared" si="8"/>
        <v>3.165</v>
      </c>
      <c r="S80" s="15" t="s">
        <v>158</v>
      </c>
    </row>
    <row r="81" spans="1:19" x14ac:dyDescent="0.35">
      <c r="A81" s="15" t="s">
        <v>35</v>
      </c>
      <c r="B81" s="7" t="s">
        <v>64</v>
      </c>
      <c r="C81" s="15" t="s">
        <v>18</v>
      </c>
      <c r="D81" s="15" t="s">
        <v>13</v>
      </c>
      <c r="E81" s="15" t="s">
        <v>36</v>
      </c>
      <c r="F81" s="17" t="s">
        <v>74</v>
      </c>
      <c r="G81" s="17" t="s">
        <v>148</v>
      </c>
      <c r="H81" s="15" t="s">
        <v>149</v>
      </c>
      <c r="I81" s="15" t="s">
        <v>86</v>
      </c>
      <c r="J81" s="18">
        <v>600</v>
      </c>
      <c r="K81" s="17" t="s">
        <v>108</v>
      </c>
      <c r="L81" s="19">
        <v>18.3</v>
      </c>
      <c r="M81" s="19">
        <v>12.5</v>
      </c>
      <c r="N81" s="19">
        <v>18.5</v>
      </c>
      <c r="O81" s="20">
        <f t="shared" si="6"/>
        <v>49.3</v>
      </c>
      <c r="P81" s="21">
        <f t="shared" si="7"/>
        <v>0.37119675456389456</v>
      </c>
      <c r="Q81" s="22">
        <v>33.76</v>
      </c>
      <c r="R81" s="23">
        <f t="shared" si="8"/>
        <v>3.3759999999999999</v>
      </c>
      <c r="S81" s="15" t="s">
        <v>158</v>
      </c>
    </row>
    <row r="82" spans="1:19" x14ac:dyDescent="0.35">
      <c r="A82" s="15" t="s">
        <v>35</v>
      </c>
      <c r="B82" s="11" t="s">
        <v>93</v>
      </c>
      <c r="C82" s="15" t="s">
        <v>19</v>
      </c>
      <c r="D82" s="15" t="s">
        <v>12</v>
      </c>
      <c r="E82" s="15" t="s">
        <v>37</v>
      </c>
      <c r="F82" s="17" t="s">
        <v>65</v>
      </c>
      <c r="G82" s="17" t="s">
        <v>140</v>
      </c>
      <c r="H82" s="15" t="s">
        <v>141</v>
      </c>
      <c r="I82" s="15" t="s">
        <v>159</v>
      </c>
      <c r="J82" s="18">
        <v>600</v>
      </c>
      <c r="K82" s="17" t="s">
        <v>143</v>
      </c>
      <c r="L82" s="19">
        <v>18</v>
      </c>
      <c r="M82" s="19">
        <v>11.5</v>
      </c>
      <c r="N82" s="19">
        <v>13.1</v>
      </c>
      <c r="O82" s="20">
        <f t="shared" si="6"/>
        <v>42.6</v>
      </c>
      <c r="P82" s="21">
        <f t="shared" si="7"/>
        <v>0.42253521126760563</v>
      </c>
      <c r="Q82" s="24">
        <v>29.873000000000001</v>
      </c>
      <c r="R82" s="23">
        <f t="shared" si="8"/>
        <v>2.9873000000000003</v>
      </c>
      <c r="S82" s="15" t="s">
        <v>144</v>
      </c>
    </row>
    <row r="83" spans="1:19" x14ac:dyDescent="0.35">
      <c r="A83" s="15" t="s">
        <v>35</v>
      </c>
      <c r="B83" s="11" t="s">
        <v>93</v>
      </c>
      <c r="C83" s="15" t="s">
        <v>19</v>
      </c>
      <c r="D83" s="15" t="s">
        <v>12</v>
      </c>
      <c r="E83" s="15" t="s">
        <v>37</v>
      </c>
      <c r="F83" s="17" t="s">
        <v>65</v>
      </c>
      <c r="G83" s="17" t="s">
        <v>140</v>
      </c>
      <c r="H83" s="15" t="s">
        <v>141</v>
      </c>
      <c r="I83" s="15" t="s">
        <v>160</v>
      </c>
      <c r="J83" s="25">
        <v>508.4</v>
      </c>
      <c r="K83" s="17" t="s">
        <v>143</v>
      </c>
      <c r="L83" s="19">
        <v>6</v>
      </c>
      <c r="M83" s="19">
        <v>10.3</v>
      </c>
      <c r="N83" s="19">
        <v>12.7</v>
      </c>
      <c r="O83" s="20">
        <f t="shared" si="6"/>
        <v>29</v>
      </c>
      <c r="P83" s="21">
        <f t="shared" si="7"/>
        <v>0.20689655172413793</v>
      </c>
      <c r="Q83" s="22">
        <v>28.562000000000001</v>
      </c>
      <c r="R83" s="23">
        <f t="shared" si="8"/>
        <v>3.3708103855232103</v>
      </c>
      <c r="S83" s="15" t="s">
        <v>144</v>
      </c>
    </row>
    <row r="84" spans="1:19" x14ac:dyDescent="0.35">
      <c r="A84" s="15" t="s">
        <v>35</v>
      </c>
      <c r="B84" s="11" t="s">
        <v>93</v>
      </c>
      <c r="C84" s="15" t="s">
        <v>19</v>
      </c>
      <c r="D84" s="15" t="s">
        <v>12</v>
      </c>
      <c r="E84" s="15" t="s">
        <v>37</v>
      </c>
      <c r="F84" s="17" t="s">
        <v>65</v>
      </c>
      <c r="G84" s="17" t="s">
        <v>140</v>
      </c>
      <c r="H84" s="15" t="s">
        <v>141</v>
      </c>
      <c r="I84" s="15" t="s">
        <v>116</v>
      </c>
      <c r="J84" s="25">
        <v>577.4</v>
      </c>
      <c r="K84" s="17" t="s">
        <v>143</v>
      </c>
      <c r="L84" s="19">
        <v>5.2</v>
      </c>
      <c r="M84" s="19">
        <v>15.3</v>
      </c>
      <c r="N84" s="19">
        <v>21.7</v>
      </c>
      <c r="O84" s="20">
        <f t="shared" si="6"/>
        <v>42.2</v>
      </c>
      <c r="P84" s="21">
        <f t="shared" si="7"/>
        <v>0.12322274881516587</v>
      </c>
      <c r="Q84" s="22">
        <v>33.011000000000003</v>
      </c>
      <c r="R84" s="23">
        <f t="shared" si="8"/>
        <v>3.430308278489782</v>
      </c>
      <c r="S84" s="15" t="s">
        <v>144</v>
      </c>
    </row>
    <row r="85" spans="1:19" x14ac:dyDescent="0.35">
      <c r="A85" s="15" t="s">
        <v>35</v>
      </c>
      <c r="B85" s="11" t="s">
        <v>93</v>
      </c>
      <c r="C85" s="15" t="s">
        <v>19</v>
      </c>
      <c r="D85" s="15" t="s">
        <v>12</v>
      </c>
      <c r="E85" s="15" t="s">
        <v>37</v>
      </c>
      <c r="F85" s="17" t="s">
        <v>65</v>
      </c>
      <c r="G85" s="17" t="s">
        <v>140</v>
      </c>
      <c r="H85" s="15" t="s">
        <v>141</v>
      </c>
      <c r="I85" s="15" t="s">
        <v>107</v>
      </c>
      <c r="J85" s="18">
        <v>600</v>
      </c>
      <c r="K85" s="17" t="s">
        <v>143</v>
      </c>
      <c r="L85" s="19">
        <v>12</v>
      </c>
      <c r="M85" s="19">
        <v>5.7</v>
      </c>
      <c r="N85" s="19">
        <v>6.6</v>
      </c>
      <c r="O85" s="20">
        <f t="shared" si="6"/>
        <v>24.299999999999997</v>
      </c>
      <c r="P85" s="21">
        <f t="shared" si="7"/>
        <v>0.49382716049382724</v>
      </c>
      <c r="Q85" s="22">
        <v>22.504999999999999</v>
      </c>
      <c r="R85" s="23">
        <f t="shared" si="8"/>
        <v>2.2504999999999997</v>
      </c>
      <c r="S85" s="15" t="s">
        <v>144</v>
      </c>
    </row>
    <row r="86" spans="1:19" x14ac:dyDescent="0.35">
      <c r="A86" s="15" t="s">
        <v>35</v>
      </c>
      <c r="B86" s="11" t="s">
        <v>93</v>
      </c>
      <c r="C86" s="15" t="s">
        <v>19</v>
      </c>
      <c r="D86" s="15" t="s">
        <v>12</v>
      </c>
      <c r="E86" s="15" t="s">
        <v>37</v>
      </c>
      <c r="F86" s="17" t="s">
        <v>65</v>
      </c>
      <c r="G86" s="17" t="s">
        <v>140</v>
      </c>
      <c r="H86" s="15" t="s">
        <v>141</v>
      </c>
      <c r="I86" s="15" t="s">
        <v>110</v>
      </c>
      <c r="J86" s="18">
        <v>600</v>
      </c>
      <c r="K86" s="17" t="s">
        <v>143</v>
      </c>
      <c r="L86" s="19">
        <v>15.6</v>
      </c>
      <c r="M86" s="19">
        <v>9.4</v>
      </c>
      <c r="N86" s="19">
        <v>13.3</v>
      </c>
      <c r="O86" s="20">
        <f t="shared" si="6"/>
        <v>38.299999999999997</v>
      </c>
      <c r="P86" s="21">
        <f t="shared" si="7"/>
        <v>0.40731070496083555</v>
      </c>
      <c r="Q86" s="22">
        <v>31.036999999999999</v>
      </c>
      <c r="R86" s="23">
        <f t="shared" si="8"/>
        <v>3.1036999999999999</v>
      </c>
      <c r="S86" s="15" t="s">
        <v>144</v>
      </c>
    </row>
    <row r="87" spans="1:19" x14ac:dyDescent="0.35">
      <c r="A87" s="15" t="s">
        <v>35</v>
      </c>
      <c r="B87" s="11" t="s">
        <v>93</v>
      </c>
      <c r="C87" s="15" t="s">
        <v>19</v>
      </c>
      <c r="D87" s="15" t="s">
        <v>12</v>
      </c>
      <c r="E87" s="15" t="s">
        <v>38</v>
      </c>
      <c r="F87" s="17" t="s">
        <v>74</v>
      </c>
      <c r="G87" s="17" t="s">
        <v>161</v>
      </c>
      <c r="H87" s="15" t="s">
        <v>162</v>
      </c>
      <c r="I87" s="15" t="s">
        <v>163</v>
      </c>
      <c r="J87" s="18">
        <v>600</v>
      </c>
      <c r="K87" s="17" t="s">
        <v>69</v>
      </c>
      <c r="L87" s="19">
        <v>11</v>
      </c>
      <c r="M87" s="19">
        <v>6.9</v>
      </c>
      <c r="N87" s="19">
        <v>9</v>
      </c>
      <c r="O87" s="20">
        <f t="shared" si="6"/>
        <v>26.9</v>
      </c>
      <c r="P87" s="21">
        <f t="shared" si="7"/>
        <v>0.4089219330855019</v>
      </c>
      <c r="Q87" s="22">
        <v>74.316000000000003</v>
      </c>
      <c r="R87" s="23">
        <f t="shared" si="8"/>
        <v>7.4316000000000004</v>
      </c>
      <c r="S87" s="15" t="s">
        <v>70</v>
      </c>
    </row>
    <row r="88" spans="1:19" x14ac:dyDescent="0.35">
      <c r="A88" s="15" t="s">
        <v>35</v>
      </c>
      <c r="B88" s="11" t="s">
        <v>93</v>
      </c>
      <c r="C88" s="15" t="s">
        <v>19</v>
      </c>
      <c r="D88" s="15" t="s">
        <v>12</v>
      </c>
      <c r="E88" s="15" t="s">
        <v>38</v>
      </c>
      <c r="F88" s="17" t="s">
        <v>74</v>
      </c>
      <c r="G88" s="17" t="s">
        <v>161</v>
      </c>
      <c r="H88" s="15" t="s">
        <v>162</v>
      </c>
      <c r="I88" s="15" t="s">
        <v>164</v>
      </c>
      <c r="J88" s="18">
        <v>600</v>
      </c>
      <c r="K88" s="17" t="s">
        <v>69</v>
      </c>
      <c r="L88" s="19">
        <v>19.899999999999999</v>
      </c>
      <c r="M88" s="19">
        <v>4.3</v>
      </c>
      <c r="N88" s="19">
        <v>13.8</v>
      </c>
      <c r="O88" s="20">
        <f t="shared" si="6"/>
        <v>38</v>
      </c>
      <c r="P88" s="21">
        <f t="shared" si="7"/>
        <v>0.52368421052631575</v>
      </c>
      <c r="Q88" s="22">
        <v>55.593000000000004</v>
      </c>
      <c r="R88" s="23">
        <f t="shared" si="8"/>
        <v>5.5593000000000004</v>
      </c>
      <c r="S88" s="15" t="s">
        <v>70</v>
      </c>
    </row>
    <row r="89" spans="1:19" x14ac:dyDescent="0.35">
      <c r="A89" s="15" t="s">
        <v>35</v>
      </c>
      <c r="B89" s="11" t="s">
        <v>93</v>
      </c>
      <c r="C89" s="15" t="s">
        <v>19</v>
      </c>
      <c r="D89" s="15" t="s">
        <v>12</v>
      </c>
      <c r="E89" s="15" t="s">
        <v>38</v>
      </c>
      <c r="F89" s="17" t="s">
        <v>74</v>
      </c>
      <c r="G89" s="17" t="s">
        <v>161</v>
      </c>
      <c r="H89" s="15" t="s">
        <v>162</v>
      </c>
      <c r="I89" s="15" t="s">
        <v>165</v>
      </c>
      <c r="J89" s="18">
        <v>592.29999999999995</v>
      </c>
      <c r="K89" s="17" t="s">
        <v>69</v>
      </c>
      <c r="L89" s="19">
        <v>8.3000000000000007</v>
      </c>
      <c r="M89" s="19">
        <v>17.7</v>
      </c>
      <c r="N89" s="19">
        <v>9.5</v>
      </c>
      <c r="O89" s="20">
        <f t="shared" si="6"/>
        <v>35.5</v>
      </c>
      <c r="P89" s="21">
        <f t="shared" si="7"/>
        <v>0.23380281690140847</v>
      </c>
      <c r="Q89" s="22">
        <v>75.885000000000005</v>
      </c>
      <c r="R89" s="23">
        <f t="shared" si="8"/>
        <v>7.6871517811919645</v>
      </c>
      <c r="S89" s="15" t="s">
        <v>70</v>
      </c>
    </row>
    <row r="90" spans="1:19" x14ac:dyDescent="0.35">
      <c r="A90" s="15" t="s">
        <v>35</v>
      </c>
      <c r="B90" s="11" t="s">
        <v>93</v>
      </c>
      <c r="C90" s="15" t="s">
        <v>19</v>
      </c>
      <c r="D90" s="15" t="s">
        <v>12</v>
      </c>
      <c r="E90" s="15" t="s">
        <v>38</v>
      </c>
      <c r="F90" s="17" t="s">
        <v>81</v>
      </c>
      <c r="G90" s="17" t="s">
        <v>166</v>
      </c>
      <c r="H90" s="15" t="s">
        <v>167</v>
      </c>
      <c r="I90" s="15" t="s">
        <v>107</v>
      </c>
      <c r="J90" s="18">
        <v>600</v>
      </c>
      <c r="K90" s="17" t="s">
        <v>69</v>
      </c>
      <c r="L90" s="19">
        <v>20.7</v>
      </c>
      <c r="M90" s="19">
        <v>3.8</v>
      </c>
      <c r="N90" s="19">
        <v>31.4</v>
      </c>
      <c r="O90" s="20">
        <f t="shared" si="6"/>
        <v>55.9</v>
      </c>
      <c r="P90" s="21">
        <f t="shared" si="7"/>
        <v>0.37030411449016098</v>
      </c>
      <c r="Q90" s="22">
        <v>57.29</v>
      </c>
      <c r="R90" s="23">
        <f t="shared" si="8"/>
        <v>5.7290000000000001</v>
      </c>
      <c r="S90" s="15" t="s">
        <v>70</v>
      </c>
    </row>
    <row r="91" spans="1:19" x14ac:dyDescent="0.35">
      <c r="A91" s="15" t="s">
        <v>35</v>
      </c>
      <c r="B91" s="11" t="s">
        <v>93</v>
      </c>
      <c r="C91" s="15" t="s">
        <v>19</v>
      </c>
      <c r="D91" s="15" t="s">
        <v>12</v>
      </c>
      <c r="E91" s="15" t="s">
        <v>38</v>
      </c>
      <c r="F91" s="17" t="s">
        <v>81</v>
      </c>
      <c r="G91" s="17" t="s">
        <v>166</v>
      </c>
      <c r="H91" s="15" t="s">
        <v>167</v>
      </c>
      <c r="I91" s="15" t="s">
        <v>110</v>
      </c>
      <c r="J91" s="18">
        <v>600</v>
      </c>
      <c r="K91" s="17" t="s">
        <v>69</v>
      </c>
      <c r="L91" s="19">
        <v>18.8</v>
      </c>
      <c r="M91" s="19">
        <v>13</v>
      </c>
      <c r="N91" s="19">
        <v>7.3</v>
      </c>
      <c r="O91" s="20">
        <f t="shared" si="6"/>
        <v>39.1</v>
      </c>
      <c r="P91" s="21">
        <f t="shared" si="7"/>
        <v>0.48081841432225064</v>
      </c>
      <c r="Q91" s="22">
        <v>49.634999999999998</v>
      </c>
      <c r="R91" s="23">
        <f t="shared" si="8"/>
        <v>4.9634999999999998</v>
      </c>
      <c r="S91" s="15" t="s">
        <v>70</v>
      </c>
    </row>
    <row r="92" spans="1:19" x14ac:dyDescent="0.35">
      <c r="A92" s="15" t="s">
        <v>35</v>
      </c>
      <c r="B92" s="11" t="s">
        <v>93</v>
      </c>
      <c r="C92" s="15" t="s">
        <v>19</v>
      </c>
      <c r="D92" s="15" t="s">
        <v>13</v>
      </c>
      <c r="E92" s="15" t="s">
        <v>37</v>
      </c>
      <c r="F92" s="17" t="s">
        <v>65</v>
      </c>
      <c r="G92" s="17" t="s">
        <v>140</v>
      </c>
      <c r="H92" s="15" t="s">
        <v>155</v>
      </c>
      <c r="I92" s="15" t="s">
        <v>168</v>
      </c>
      <c r="J92" s="18">
        <v>600</v>
      </c>
      <c r="K92" s="17" t="s">
        <v>143</v>
      </c>
      <c r="L92" s="19">
        <v>7.8</v>
      </c>
      <c r="M92" s="19">
        <v>9.9</v>
      </c>
      <c r="N92" s="19">
        <v>16.899999999999999</v>
      </c>
      <c r="O92" s="20">
        <f t="shared" si="6"/>
        <v>34.599999999999994</v>
      </c>
      <c r="P92" s="21">
        <f t="shared" si="7"/>
        <v>0.22543352601156072</v>
      </c>
      <c r="Q92" s="22">
        <v>40.628</v>
      </c>
      <c r="R92" s="23">
        <f t="shared" si="8"/>
        <v>4.0628000000000002</v>
      </c>
      <c r="S92" s="15" t="s">
        <v>144</v>
      </c>
    </row>
    <row r="93" spans="1:19" x14ac:dyDescent="0.35">
      <c r="A93" s="15" t="s">
        <v>35</v>
      </c>
      <c r="B93" s="11" t="s">
        <v>93</v>
      </c>
      <c r="C93" s="15" t="s">
        <v>19</v>
      </c>
      <c r="D93" s="15" t="s">
        <v>13</v>
      </c>
      <c r="E93" s="15" t="s">
        <v>37</v>
      </c>
      <c r="F93" s="17" t="s">
        <v>65</v>
      </c>
      <c r="G93" s="17" t="s">
        <v>140</v>
      </c>
      <c r="H93" s="15" t="s">
        <v>155</v>
      </c>
      <c r="I93" s="15" t="s">
        <v>169</v>
      </c>
      <c r="J93" s="18">
        <v>600</v>
      </c>
      <c r="K93" s="17" t="s">
        <v>143</v>
      </c>
      <c r="L93" s="19">
        <v>13.9</v>
      </c>
      <c r="M93" s="19">
        <v>4.9000000000000004</v>
      </c>
      <c r="N93" s="19">
        <v>8.3000000000000007</v>
      </c>
      <c r="O93" s="20">
        <f t="shared" si="6"/>
        <v>27.1</v>
      </c>
      <c r="P93" s="21">
        <f t="shared" si="7"/>
        <v>0.51291512915129145</v>
      </c>
      <c r="Q93" s="22">
        <v>32.917999999999999</v>
      </c>
      <c r="R93" s="23">
        <f t="shared" si="8"/>
        <v>3.2917999999999998</v>
      </c>
      <c r="S93" s="15" t="s">
        <v>144</v>
      </c>
    </row>
    <row r="94" spans="1:19" x14ac:dyDescent="0.35">
      <c r="A94" s="15" t="s">
        <v>35</v>
      </c>
      <c r="B94" s="11" t="s">
        <v>93</v>
      </c>
      <c r="C94" s="15" t="s">
        <v>19</v>
      </c>
      <c r="D94" s="15" t="s">
        <v>13</v>
      </c>
      <c r="E94" s="15" t="s">
        <v>37</v>
      </c>
      <c r="F94" s="17" t="s">
        <v>65</v>
      </c>
      <c r="G94" s="17" t="s">
        <v>140</v>
      </c>
      <c r="H94" s="15" t="s">
        <v>155</v>
      </c>
      <c r="I94" s="15" t="s">
        <v>170</v>
      </c>
      <c r="J94" s="18">
        <v>600</v>
      </c>
      <c r="K94" s="17" t="s">
        <v>143</v>
      </c>
      <c r="L94" s="19">
        <v>22.3</v>
      </c>
      <c r="M94" s="19">
        <v>13</v>
      </c>
      <c r="N94" s="19">
        <v>17.7</v>
      </c>
      <c r="O94" s="20">
        <f t="shared" si="6"/>
        <v>53</v>
      </c>
      <c r="P94" s="21">
        <f t="shared" si="7"/>
        <v>0.42075471698113209</v>
      </c>
      <c r="Q94" s="22">
        <v>38.706000000000003</v>
      </c>
      <c r="R94" s="23">
        <f t="shared" si="8"/>
        <v>3.8706000000000005</v>
      </c>
      <c r="S94" s="15" t="s">
        <v>144</v>
      </c>
    </row>
    <row r="95" spans="1:19" x14ac:dyDescent="0.35">
      <c r="A95" s="15" t="s">
        <v>35</v>
      </c>
      <c r="B95" s="11" t="s">
        <v>93</v>
      </c>
      <c r="C95" s="15" t="s">
        <v>19</v>
      </c>
      <c r="D95" s="15" t="s">
        <v>13</v>
      </c>
      <c r="E95" s="15" t="s">
        <v>37</v>
      </c>
      <c r="F95" s="17" t="s">
        <v>65</v>
      </c>
      <c r="G95" s="17" t="s">
        <v>140</v>
      </c>
      <c r="H95" s="15" t="s">
        <v>155</v>
      </c>
      <c r="I95" s="15" t="s">
        <v>171</v>
      </c>
      <c r="J95" s="18">
        <v>600</v>
      </c>
      <c r="K95" s="17" t="s">
        <v>143</v>
      </c>
      <c r="L95" s="19">
        <v>19.600000000000001</v>
      </c>
      <c r="M95" s="19">
        <v>9.9</v>
      </c>
      <c r="N95" s="19">
        <v>5.3</v>
      </c>
      <c r="O95" s="20">
        <f t="shared" si="6"/>
        <v>34.799999999999997</v>
      </c>
      <c r="P95" s="21">
        <f t="shared" si="7"/>
        <v>0.56321839080459779</v>
      </c>
      <c r="Q95" s="22">
        <v>22.452999999999999</v>
      </c>
      <c r="R95" s="23">
        <f t="shared" si="8"/>
        <v>2.2452999999999999</v>
      </c>
      <c r="S95" s="15" t="s">
        <v>144</v>
      </c>
    </row>
    <row r="96" spans="1:19" x14ac:dyDescent="0.35">
      <c r="A96" s="15" t="s">
        <v>35</v>
      </c>
      <c r="B96" s="11" t="s">
        <v>93</v>
      </c>
      <c r="C96" s="15" t="s">
        <v>19</v>
      </c>
      <c r="D96" s="15" t="s">
        <v>13</v>
      </c>
      <c r="E96" s="15" t="s">
        <v>37</v>
      </c>
      <c r="F96" s="17" t="s">
        <v>65</v>
      </c>
      <c r="G96" s="17" t="s">
        <v>140</v>
      </c>
      <c r="H96" s="15" t="s">
        <v>155</v>
      </c>
      <c r="I96" s="15" t="s">
        <v>172</v>
      </c>
      <c r="J96" s="18">
        <v>600</v>
      </c>
      <c r="K96" s="17" t="s">
        <v>143</v>
      </c>
      <c r="L96" s="19">
        <v>12.3</v>
      </c>
      <c r="M96" s="19">
        <v>3.6</v>
      </c>
      <c r="N96" s="19">
        <v>10.199999999999999</v>
      </c>
      <c r="O96" s="20">
        <f t="shared" si="6"/>
        <v>26.1</v>
      </c>
      <c r="P96" s="21">
        <f t="shared" si="7"/>
        <v>0.47126436781609193</v>
      </c>
      <c r="Q96" s="22">
        <v>21.173999999999999</v>
      </c>
      <c r="R96" s="23">
        <f t="shared" si="8"/>
        <v>2.1173999999999999</v>
      </c>
      <c r="S96" s="15" t="s">
        <v>144</v>
      </c>
    </row>
    <row r="97" spans="1:19" x14ac:dyDescent="0.35">
      <c r="A97" s="15" t="s">
        <v>35</v>
      </c>
      <c r="B97" s="11" t="s">
        <v>93</v>
      </c>
      <c r="C97" s="15" t="s">
        <v>19</v>
      </c>
      <c r="D97" s="15" t="s">
        <v>13</v>
      </c>
      <c r="E97" s="15" t="s">
        <v>38</v>
      </c>
      <c r="F97" s="17" t="s">
        <v>81</v>
      </c>
      <c r="G97" s="17" t="s">
        <v>166</v>
      </c>
      <c r="H97" s="15" t="s">
        <v>167</v>
      </c>
      <c r="I97" s="15" t="s">
        <v>114</v>
      </c>
      <c r="J97" s="18">
        <v>600</v>
      </c>
      <c r="K97" s="17" t="s">
        <v>69</v>
      </c>
      <c r="L97" s="19">
        <v>14.3</v>
      </c>
      <c r="M97" s="19">
        <v>11.6</v>
      </c>
      <c r="N97" s="19">
        <v>7.6</v>
      </c>
      <c r="O97" s="20">
        <f t="shared" si="6"/>
        <v>33.5</v>
      </c>
      <c r="P97" s="21">
        <f t="shared" si="7"/>
        <v>0.42686567164179107</v>
      </c>
      <c r="Q97" s="22">
        <v>67.323999999999998</v>
      </c>
      <c r="R97" s="23">
        <f t="shared" si="8"/>
        <v>6.7324000000000002</v>
      </c>
      <c r="S97" s="15" t="s">
        <v>70</v>
      </c>
    </row>
    <row r="98" spans="1:19" x14ac:dyDescent="0.35">
      <c r="A98" s="15" t="s">
        <v>35</v>
      </c>
      <c r="B98" s="11" t="s">
        <v>93</v>
      </c>
      <c r="C98" s="15" t="s">
        <v>19</v>
      </c>
      <c r="D98" s="15" t="s">
        <v>13</v>
      </c>
      <c r="E98" s="15" t="s">
        <v>38</v>
      </c>
      <c r="F98" s="17" t="s">
        <v>81</v>
      </c>
      <c r="G98" s="17" t="s">
        <v>166</v>
      </c>
      <c r="H98" s="15" t="s">
        <v>167</v>
      </c>
      <c r="I98" s="15" t="s">
        <v>115</v>
      </c>
      <c r="J98" s="18">
        <v>600</v>
      </c>
      <c r="K98" s="17" t="s">
        <v>69</v>
      </c>
      <c r="L98" s="19">
        <v>14.4</v>
      </c>
      <c r="M98" s="19">
        <v>13.3</v>
      </c>
      <c r="N98" s="19">
        <v>3.6</v>
      </c>
      <c r="O98" s="20">
        <f t="shared" si="6"/>
        <v>31.300000000000004</v>
      </c>
      <c r="P98" s="21">
        <f t="shared" si="7"/>
        <v>0.4600638977635782</v>
      </c>
      <c r="Q98" s="22">
        <v>58.908000000000001</v>
      </c>
      <c r="R98" s="23">
        <f t="shared" si="8"/>
        <v>5.8908000000000005</v>
      </c>
      <c r="S98" s="15" t="s">
        <v>70</v>
      </c>
    </row>
    <row r="99" spans="1:19" x14ac:dyDescent="0.35">
      <c r="A99" s="15" t="s">
        <v>35</v>
      </c>
      <c r="B99" s="11" t="s">
        <v>93</v>
      </c>
      <c r="C99" s="15" t="s">
        <v>19</v>
      </c>
      <c r="D99" s="15" t="s">
        <v>13</v>
      </c>
      <c r="E99" s="15" t="s">
        <v>38</v>
      </c>
      <c r="F99" s="17" t="s">
        <v>81</v>
      </c>
      <c r="G99" s="17" t="s">
        <v>166</v>
      </c>
      <c r="H99" s="15" t="s">
        <v>167</v>
      </c>
      <c r="I99" s="15" t="s">
        <v>116</v>
      </c>
      <c r="J99" s="18">
        <v>597.29999999999995</v>
      </c>
      <c r="K99" s="17" t="s">
        <v>69</v>
      </c>
      <c r="L99" s="19">
        <v>39.299999999999997</v>
      </c>
      <c r="M99" s="19">
        <v>2.5</v>
      </c>
      <c r="N99" s="19">
        <v>9</v>
      </c>
      <c r="O99" s="20">
        <f t="shared" si="6"/>
        <v>50.8</v>
      </c>
      <c r="P99" s="21">
        <f t="shared" si="7"/>
        <v>0.77362204724409445</v>
      </c>
      <c r="Q99" s="22">
        <v>64.721000000000004</v>
      </c>
      <c r="R99" s="23">
        <f t="shared" si="8"/>
        <v>6.5013561024610755</v>
      </c>
      <c r="S99" s="15" t="s">
        <v>70</v>
      </c>
    </row>
    <row r="100" spans="1:19" x14ac:dyDescent="0.35">
      <c r="A100" s="15" t="s">
        <v>35</v>
      </c>
      <c r="B100" s="11" t="s">
        <v>93</v>
      </c>
      <c r="C100" s="15" t="s">
        <v>19</v>
      </c>
      <c r="D100" s="15" t="s">
        <v>13</v>
      </c>
      <c r="E100" s="15" t="s">
        <v>38</v>
      </c>
      <c r="F100" s="17" t="s">
        <v>74</v>
      </c>
      <c r="G100" s="17" t="s">
        <v>161</v>
      </c>
      <c r="H100" s="15" t="s">
        <v>162</v>
      </c>
      <c r="I100" s="15" t="s">
        <v>173</v>
      </c>
      <c r="J100" s="18">
        <v>600</v>
      </c>
      <c r="K100" s="17" t="s">
        <v>69</v>
      </c>
      <c r="L100" s="19">
        <v>21.9</v>
      </c>
      <c r="M100" s="19">
        <v>11.8</v>
      </c>
      <c r="N100" s="19">
        <v>10.7</v>
      </c>
      <c r="O100" s="20">
        <f t="shared" si="6"/>
        <v>44.400000000000006</v>
      </c>
      <c r="P100" s="21">
        <f t="shared" si="7"/>
        <v>0.49324324324324315</v>
      </c>
      <c r="Q100" s="22">
        <v>51.122</v>
      </c>
      <c r="R100" s="23">
        <f t="shared" si="8"/>
        <v>5.1121999999999996</v>
      </c>
      <c r="S100" s="15" t="s">
        <v>70</v>
      </c>
    </row>
    <row r="101" spans="1:19" x14ac:dyDescent="0.35">
      <c r="A101" s="15" t="s">
        <v>35</v>
      </c>
      <c r="B101" s="11" t="s">
        <v>93</v>
      </c>
      <c r="C101" s="15" t="s">
        <v>19</v>
      </c>
      <c r="D101" s="15" t="s">
        <v>13</v>
      </c>
      <c r="E101" s="15" t="s">
        <v>38</v>
      </c>
      <c r="F101" s="17" t="s">
        <v>74</v>
      </c>
      <c r="G101" s="17" t="s">
        <v>161</v>
      </c>
      <c r="H101" s="15" t="s">
        <v>162</v>
      </c>
      <c r="I101" s="15" t="s">
        <v>174</v>
      </c>
      <c r="J101" s="18">
        <v>600</v>
      </c>
      <c r="K101" s="17" t="s">
        <v>69</v>
      </c>
      <c r="L101" s="19">
        <v>18.2</v>
      </c>
      <c r="M101" s="19">
        <v>17.2</v>
      </c>
      <c r="N101" s="19">
        <v>6.7</v>
      </c>
      <c r="O101" s="20">
        <f t="shared" ref="O101:O132" si="9">L101+M101+N101</f>
        <v>42.1</v>
      </c>
      <c r="P101" s="21">
        <f t="shared" ref="P101:P132" si="10">IF(O101=0,"",L101/O101)</f>
        <v>0.43230403800475053</v>
      </c>
      <c r="Q101" s="22">
        <v>49.802</v>
      </c>
      <c r="R101" s="23">
        <f t="shared" ref="R101:R132" si="11">IF(AND(ISNUMBER(Q101),ISNUMBER(J101)),Q101/(J101/60),"")</f>
        <v>4.9802</v>
      </c>
      <c r="S101" s="15" t="s">
        <v>70</v>
      </c>
    </row>
    <row r="102" spans="1:19" x14ac:dyDescent="0.35">
      <c r="A102" s="15" t="s">
        <v>35</v>
      </c>
      <c r="B102" s="12" t="s">
        <v>119</v>
      </c>
      <c r="C102" s="15" t="s">
        <v>20</v>
      </c>
      <c r="D102" s="15" t="s">
        <v>12</v>
      </c>
      <c r="E102" s="15" t="s">
        <v>34</v>
      </c>
      <c r="F102" s="17" t="s">
        <v>65</v>
      </c>
      <c r="G102" s="17" t="s">
        <v>175</v>
      </c>
      <c r="H102" s="15" t="s">
        <v>176</v>
      </c>
      <c r="I102" s="15" t="s">
        <v>177</v>
      </c>
      <c r="J102" s="18">
        <v>600</v>
      </c>
      <c r="K102" s="17" t="s">
        <v>178</v>
      </c>
      <c r="L102" s="19">
        <v>29.3</v>
      </c>
      <c r="M102" s="19">
        <v>22.7</v>
      </c>
      <c r="N102" s="19">
        <v>29.1</v>
      </c>
      <c r="O102" s="20">
        <f t="shared" si="9"/>
        <v>81.099999999999994</v>
      </c>
      <c r="P102" s="21">
        <f t="shared" si="10"/>
        <v>0.36128236744759562</v>
      </c>
      <c r="Q102" s="22">
        <v>31.710999999999999</v>
      </c>
      <c r="R102" s="23">
        <f t="shared" si="11"/>
        <v>3.1711</v>
      </c>
      <c r="S102" s="15" t="s">
        <v>179</v>
      </c>
    </row>
    <row r="103" spans="1:19" x14ac:dyDescent="0.35">
      <c r="A103" s="15" t="s">
        <v>35</v>
      </c>
      <c r="B103" s="12" t="s">
        <v>119</v>
      </c>
      <c r="C103" s="15" t="s">
        <v>20</v>
      </c>
      <c r="D103" s="15" t="s">
        <v>12</v>
      </c>
      <c r="E103" s="15" t="s">
        <v>34</v>
      </c>
      <c r="F103" s="17" t="s">
        <v>65</v>
      </c>
      <c r="G103" s="17" t="s">
        <v>175</v>
      </c>
      <c r="H103" s="15" t="s">
        <v>176</v>
      </c>
      <c r="I103" s="15" t="s">
        <v>180</v>
      </c>
      <c r="J103" s="18">
        <v>600</v>
      </c>
      <c r="K103" s="17" t="s">
        <v>178</v>
      </c>
      <c r="L103" s="19">
        <v>13</v>
      </c>
      <c r="M103" s="19">
        <v>20.3</v>
      </c>
      <c r="N103" s="19">
        <v>16.399999999999999</v>
      </c>
      <c r="O103" s="20">
        <f t="shared" si="9"/>
        <v>49.699999999999996</v>
      </c>
      <c r="P103" s="21">
        <f t="shared" si="10"/>
        <v>0.26156941649899401</v>
      </c>
      <c r="Q103" s="22">
        <v>33.579000000000001</v>
      </c>
      <c r="R103" s="23">
        <f t="shared" si="11"/>
        <v>3.3578999999999999</v>
      </c>
      <c r="S103" s="15" t="s">
        <v>179</v>
      </c>
    </row>
    <row r="104" spans="1:19" x14ac:dyDescent="0.35">
      <c r="A104" s="15" t="s">
        <v>35</v>
      </c>
      <c r="B104" s="12" t="s">
        <v>119</v>
      </c>
      <c r="C104" s="15" t="s">
        <v>20</v>
      </c>
      <c r="D104" s="15" t="s">
        <v>12</v>
      </c>
      <c r="E104" s="15" t="s">
        <v>34</v>
      </c>
      <c r="F104" s="17" t="s">
        <v>65</v>
      </c>
      <c r="G104" s="17" t="s">
        <v>175</v>
      </c>
      <c r="H104" s="15" t="s">
        <v>176</v>
      </c>
      <c r="I104" s="15" t="s">
        <v>181</v>
      </c>
      <c r="J104" s="18">
        <v>600</v>
      </c>
      <c r="K104" s="17" t="s">
        <v>178</v>
      </c>
      <c r="L104" s="19">
        <v>25.3</v>
      </c>
      <c r="M104" s="19">
        <v>46.2</v>
      </c>
      <c r="N104" s="19">
        <v>29.8</v>
      </c>
      <c r="O104" s="20">
        <f t="shared" si="9"/>
        <v>101.3</v>
      </c>
      <c r="P104" s="21">
        <f t="shared" si="10"/>
        <v>0.24975320829220141</v>
      </c>
      <c r="Q104" s="22">
        <v>36.753</v>
      </c>
      <c r="R104" s="23">
        <f t="shared" si="11"/>
        <v>3.6753</v>
      </c>
      <c r="S104" s="15" t="s">
        <v>179</v>
      </c>
    </row>
    <row r="105" spans="1:19" x14ac:dyDescent="0.35">
      <c r="A105" s="15" t="s">
        <v>35</v>
      </c>
      <c r="B105" s="12" t="s">
        <v>119</v>
      </c>
      <c r="C105" s="15" t="s">
        <v>20</v>
      </c>
      <c r="D105" s="15" t="s">
        <v>12</v>
      </c>
      <c r="E105" s="15" t="s">
        <v>34</v>
      </c>
      <c r="F105" s="17" t="s">
        <v>65</v>
      </c>
      <c r="G105" s="17" t="s">
        <v>175</v>
      </c>
      <c r="H105" s="15" t="s">
        <v>176</v>
      </c>
      <c r="I105" s="15" t="s">
        <v>182</v>
      </c>
      <c r="J105" s="18">
        <v>600</v>
      </c>
      <c r="K105" s="17" t="s">
        <v>178</v>
      </c>
      <c r="L105" s="19">
        <v>25.3</v>
      </c>
      <c r="M105" s="19">
        <v>18.3</v>
      </c>
      <c r="N105" s="19">
        <v>13.6</v>
      </c>
      <c r="O105" s="20">
        <f t="shared" si="9"/>
        <v>57.2</v>
      </c>
      <c r="P105" s="21">
        <f t="shared" si="10"/>
        <v>0.44230769230769229</v>
      </c>
      <c r="Q105" s="22">
        <v>36.759</v>
      </c>
      <c r="R105" s="23">
        <f t="shared" si="11"/>
        <v>3.6758999999999999</v>
      </c>
      <c r="S105" s="15" t="s">
        <v>179</v>
      </c>
    </row>
    <row r="106" spans="1:19" x14ac:dyDescent="0.35">
      <c r="A106" s="15" t="s">
        <v>35</v>
      </c>
      <c r="B106" s="12" t="s">
        <v>119</v>
      </c>
      <c r="C106" s="15" t="s">
        <v>20</v>
      </c>
      <c r="D106" s="15" t="s">
        <v>12</v>
      </c>
      <c r="E106" s="15" t="s">
        <v>34</v>
      </c>
      <c r="F106" s="17" t="s">
        <v>65</v>
      </c>
      <c r="G106" s="17" t="s">
        <v>175</v>
      </c>
      <c r="H106" s="15" t="s">
        <v>176</v>
      </c>
      <c r="I106" s="15" t="s">
        <v>183</v>
      </c>
      <c r="J106" s="18">
        <v>600</v>
      </c>
      <c r="K106" s="17" t="s">
        <v>178</v>
      </c>
      <c r="L106" s="19">
        <v>17.399999999999999</v>
      </c>
      <c r="M106" s="19">
        <v>19.7</v>
      </c>
      <c r="N106" s="19">
        <v>23.2</v>
      </c>
      <c r="O106" s="20">
        <f t="shared" si="9"/>
        <v>60.3</v>
      </c>
      <c r="P106" s="21">
        <f t="shared" si="10"/>
        <v>0.28855721393034822</v>
      </c>
      <c r="Q106" s="22">
        <v>32.148000000000003</v>
      </c>
      <c r="R106" s="23">
        <f t="shared" si="11"/>
        <v>3.2148000000000003</v>
      </c>
      <c r="S106" s="15" t="s">
        <v>179</v>
      </c>
    </row>
    <row r="107" spans="1:19" x14ac:dyDescent="0.35">
      <c r="A107" s="15" t="s">
        <v>35</v>
      </c>
      <c r="B107" s="12" t="s">
        <v>119</v>
      </c>
      <c r="C107" s="15" t="s">
        <v>20</v>
      </c>
      <c r="D107" s="15" t="s">
        <v>12</v>
      </c>
      <c r="E107" s="15" t="s">
        <v>38</v>
      </c>
      <c r="F107" s="17" t="s">
        <v>74</v>
      </c>
      <c r="G107" s="17" t="s">
        <v>161</v>
      </c>
      <c r="H107" s="15" t="s">
        <v>162</v>
      </c>
      <c r="I107" s="15" t="s">
        <v>184</v>
      </c>
      <c r="J107" s="25">
        <v>577.79999999999995</v>
      </c>
      <c r="K107" s="17" t="s">
        <v>69</v>
      </c>
      <c r="L107" s="19">
        <v>12.5</v>
      </c>
      <c r="M107" s="19">
        <v>11.4</v>
      </c>
      <c r="N107" s="19">
        <v>6.4</v>
      </c>
      <c r="O107" s="20">
        <f t="shared" si="9"/>
        <v>30.299999999999997</v>
      </c>
      <c r="P107" s="21">
        <f t="shared" si="10"/>
        <v>0.41254125412541259</v>
      </c>
      <c r="Q107" s="22">
        <v>47.311</v>
      </c>
      <c r="R107" s="23">
        <f t="shared" si="11"/>
        <v>4.9128764278296995</v>
      </c>
      <c r="S107" s="15" t="s">
        <v>70</v>
      </c>
    </row>
    <row r="108" spans="1:19" x14ac:dyDescent="0.35">
      <c r="A108" s="15" t="s">
        <v>35</v>
      </c>
      <c r="B108" s="12" t="s">
        <v>119</v>
      </c>
      <c r="C108" s="15" t="s">
        <v>20</v>
      </c>
      <c r="D108" s="15" t="s">
        <v>12</v>
      </c>
      <c r="E108" s="15" t="s">
        <v>38</v>
      </c>
      <c r="F108" s="17" t="s">
        <v>74</v>
      </c>
      <c r="G108" s="17" t="s">
        <v>161</v>
      </c>
      <c r="H108" s="15" t="s">
        <v>162</v>
      </c>
      <c r="I108" s="15" t="s">
        <v>185</v>
      </c>
      <c r="J108" s="18">
        <v>600</v>
      </c>
      <c r="K108" s="17" t="s">
        <v>69</v>
      </c>
      <c r="L108" s="19">
        <v>22.1</v>
      </c>
      <c r="M108" s="19">
        <v>6.2</v>
      </c>
      <c r="N108" s="19">
        <v>6.5</v>
      </c>
      <c r="O108" s="20">
        <f t="shared" si="9"/>
        <v>34.799999999999997</v>
      </c>
      <c r="P108" s="21">
        <f t="shared" si="10"/>
        <v>0.63505747126436796</v>
      </c>
      <c r="Q108" s="22">
        <v>58.613</v>
      </c>
      <c r="R108" s="23">
        <f t="shared" si="11"/>
        <v>5.8613</v>
      </c>
      <c r="S108" s="15" t="s">
        <v>70</v>
      </c>
    </row>
    <row r="109" spans="1:19" x14ac:dyDescent="0.35">
      <c r="A109" s="15" t="s">
        <v>35</v>
      </c>
      <c r="B109" s="12" t="s">
        <v>119</v>
      </c>
      <c r="C109" s="15" t="s">
        <v>20</v>
      </c>
      <c r="D109" s="15" t="s">
        <v>12</v>
      </c>
      <c r="E109" s="15" t="s">
        <v>38</v>
      </c>
      <c r="F109" s="17" t="s">
        <v>74</v>
      </c>
      <c r="G109" s="17" t="s">
        <v>161</v>
      </c>
      <c r="H109" s="15" t="s">
        <v>162</v>
      </c>
      <c r="I109" s="15" t="s">
        <v>186</v>
      </c>
      <c r="J109" s="18">
        <v>600</v>
      </c>
      <c r="K109" s="17" t="s">
        <v>69</v>
      </c>
      <c r="L109" s="19">
        <v>15.6</v>
      </c>
      <c r="M109" s="19">
        <v>7.8</v>
      </c>
      <c r="N109" s="19">
        <v>12</v>
      </c>
      <c r="O109" s="20">
        <f t="shared" si="9"/>
        <v>35.4</v>
      </c>
      <c r="P109" s="21">
        <f t="shared" si="10"/>
        <v>0.44067796610169491</v>
      </c>
      <c r="Q109" s="22">
        <v>46.177999999999997</v>
      </c>
      <c r="R109" s="23">
        <f t="shared" si="11"/>
        <v>4.6177999999999999</v>
      </c>
      <c r="S109" s="15" t="s">
        <v>70</v>
      </c>
    </row>
    <row r="110" spans="1:19" x14ac:dyDescent="0.35">
      <c r="A110" s="15" t="s">
        <v>35</v>
      </c>
      <c r="B110" s="12" t="s">
        <v>119</v>
      </c>
      <c r="C110" s="15" t="s">
        <v>20</v>
      </c>
      <c r="D110" s="15" t="s">
        <v>12</v>
      </c>
      <c r="E110" s="15" t="s">
        <v>38</v>
      </c>
      <c r="F110" s="17" t="s">
        <v>81</v>
      </c>
      <c r="G110" s="17" t="s">
        <v>166</v>
      </c>
      <c r="H110" s="15" t="s">
        <v>167</v>
      </c>
      <c r="I110" s="15" t="s">
        <v>187</v>
      </c>
      <c r="J110" s="18">
        <v>600</v>
      </c>
      <c r="K110" s="17" t="s">
        <v>69</v>
      </c>
      <c r="L110" s="19">
        <v>3.9</v>
      </c>
      <c r="M110" s="19">
        <v>6.3</v>
      </c>
      <c r="N110" s="19">
        <v>16</v>
      </c>
      <c r="O110" s="20">
        <f t="shared" si="9"/>
        <v>26.2</v>
      </c>
      <c r="P110" s="21">
        <f t="shared" si="10"/>
        <v>0.14885496183206107</v>
      </c>
      <c r="Q110" s="22">
        <v>42.607999999999997</v>
      </c>
      <c r="R110" s="23">
        <f t="shared" si="11"/>
        <v>4.2607999999999997</v>
      </c>
      <c r="S110" s="15" t="s">
        <v>70</v>
      </c>
    </row>
    <row r="111" spans="1:19" x14ac:dyDescent="0.35">
      <c r="A111" s="15" t="s">
        <v>35</v>
      </c>
      <c r="B111" s="12" t="s">
        <v>119</v>
      </c>
      <c r="C111" s="15" t="s">
        <v>20</v>
      </c>
      <c r="D111" s="15" t="s">
        <v>12</v>
      </c>
      <c r="E111" s="15" t="s">
        <v>38</v>
      </c>
      <c r="F111" s="17" t="s">
        <v>81</v>
      </c>
      <c r="G111" s="17" t="s">
        <v>166</v>
      </c>
      <c r="H111" s="15" t="s">
        <v>167</v>
      </c>
      <c r="I111" s="15" t="s">
        <v>188</v>
      </c>
      <c r="J111" s="18">
        <v>600</v>
      </c>
      <c r="K111" s="17" t="s">
        <v>69</v>
      </c>
      <c r="L111" s="19">
        <v>13.2</v>
      </c>
      <c r="M111" s="19">
        <v>24.1</v>
      </c>
      <c r="N111" s="19">
        <v>47.1</v>
      </c>
      <c r="O111" s="20">
        <f t="shared" si="9"/>
        <v>84.4</v>
      </c>
      <c r="P111" s="21">
        <f t="shared" si="10"/>
        <v>0.15639810426540282</v>
      </c>
      <c r="Q111" s="22">
        <v>44.984999999999999</v>
      </c>
      <c r="R111" s="23">
        <f t="shared" si="11"/>
        <v>4.4984999999999999</v>
      </c>
      <c r="S111" s="15" t="s">
        <v>70</v>
      </c>
    </row>
    <row r="112" spans="1:19" x14ac:dyDescent="0.35">
      <c r="A112" s="15" t="s">
        <v>35</v>
      </c>
      <c r="B112" s="12" t="s">
        <v>119</v>
      </c>
      <c r="C112" s="15" t="s">
        <v>20</v>
      </c>
      <c r="D112" s="15" t="s">
        <v>13</v>
      </c>
      <c r="E112" s="15" t="s">
        <v>34</v>
      </c>
      <c r="F112" s="17" t="s">
        <v>65</v>
      </c>
      <c r="G112" s="17" t="s">
        <v>175</v>
      </c>
      <c r="H112" s="15" t="s">
        <v>176</v>
      </c>
      <c r="I112" s="15" t="s">
        <v>189</v>
      </c>
      <c r="J112" s="18">
        <v>600</v>
      </c>
      <c r="K112" s="17" t="s">
        <v>190</v>
      </c>
      <c r="L112" s="19">
        <v>22</v>
      </c>
      <c r="M112" s="19">
        <v>15.8</v>
      </c>
      <c r="N112" s="19">
        <v>18.399999999999999</v>
      </c>
      <c r="O112" s="20">
        <f t="shared" si="9"/>
        <v>56.199999999999996</v>
      </c>
      <c r="P112" s="21">
        <f t="shared" si="10"/>
        <v>0.3914590747330961</v>
      </c>
      <c r="Q112" s="22">
        <v>45.238</v>
      </c>
      <c r="R112" s="23">
        <f t="shared" si="11"/>
        <v>4.5237999999999996</v>
      </c>
      <c r="S112" s="15" t="s">
        <v>191</v>
      </c>
    </row>
    <row r="113" spans="1:19" x14ac:dyDescent="0.35">
      <c r="A113" s="15" t="s">
        <v>35</v>
      </c>
      <c r="B113" s="12" t="s">
        <v>119</v>
      </c>
      <c r="C113" s="15" t="s">
        <v>20</v>
      </c>
      <c r="D113" s="15" t="s">
        <v>13</v>
      </c>
      <c r="E113" s="15" t="s">
        <v>34</v>
      </c>
      <c r="F113" s="17" t="s">
        <v>65</v>
      </c>
      <c r="G113" s="17" t="s">
        <v>175</v>
      </c>
      <c r="H113" s="15" t="s">
        <v>176</v>
      </c>
      <c r="I113" s="15" t="s">
        <v>192</v>
      </c>
      <c r="J113" s="18">
        <v>600</v>
      </c>
      <c r="K113" s="17" t="s">
        <v>190</v>
      </c>
      <c r="L113" s="19">
        <v>28.9</v>
      </c>
      <c r="M113" s="19">
        <v>24.6</v>
      </c>
      <c r="N113" s="19">
        <v>21.3</v>
      </c>
      <c r="O113" s="20">
        <f t="shared" si="9"/>
        <v>74.8</v>
      </c>
      <c r="P113" s="21">
        <f t="shared" si="10"/>
        <v>0.38636363636363635</v>
      </c>
      <c r="Q113" s="22">
        <v>38.238999999999997</v>
      </c>
      <c r="R113" s="23">
        <f t="shared" si="11"/>
        <v>3.8238999999999996</v>
      </c>
      <c r="S113" s="15" t="s">
        <v>191</v>
      </c>
    </row>
    <row r="114" spans="1:19" x14ac:dyDescent="0.35">
      <c r="A114" s="15" t="s">
        <v>35</v>
      </c>
      <c r="B114" s="12" t="s">
        <v>119</v>
      </c>
      <c r="C114" s="15" t="s">
        <v>20</v>
      </c>
      <c r="D114" s="15" t="s">
        <v>13</v>
      </c>
      <c r="E114" s="15" t="s">
        <v>34</v>
      </c>
      <c r="F114" s="17" t="s">
        <v>65</v>
      </c>
      <c r="G114" s="17" t="s">
        <v>175</v>
      </c>
      <c r="H114" s="15" t="s">
        <v>176</v>
      </c>
      <c r="I114" s="15" t="s">
        <v>193</v>
      </c>
      <c r="J114" s="18">
        <v>600</v>
      </c>
      <c r="K114" s="17" t="s">
        <v>190</v>
      </c>
      <c r="L114" s="19">
        <v>39.5</v>
      </c>
      <c r="M114" s="19">
        <v>35.5</v>
      </c>
      <c r="N114" s="19">
        <v>24.7</v>
      </c>
      <c r="O114" s="20">
        <f t="shared" si="9"/>
        <v>99.7</v>
      </c>
      <c r="P114" s="21">
        <f t="shared" si="10"/>
        <v>0.39618856569709127</v>
      </c>
      <c r="Q114" s="22">
        <v>44.761000000000003</v>
      </c>
      <c r="R114" s="23">
        <f t="shared" si="11"/>
        <v>4.4761000000000006</v>
      </c>
      <c r="S114" s="15" t="s">
        <v>191</v>
      </c>
    </row>
    <row r="115" spans="1:19" x14ac:dyDescent="0.35">
      <c r="A115" s="15" t="s">
        <v>35</v>
      </c>
      <c r="B115" s="12" t="s">
        <v>119</v>
      </c>
      <c r="C115" s="15" t="s">
        <v>20</v>
      </c>
      <c r="D115" s="15" t="s">
        <v>13</v>
      </c>
      <c r="E115" s="15" t="s">
        <v>34</v>
      </c>
      <c r="F115" s="17" t="s">
        <v>65</v>
      </c>
      <c r="G115" s="17" t="s">
        <v>175</v>
      </c>
      <c r="H115" s="15" t="s">
        <v>176</v>
      </c>
      <c r="I115" s="15" t="s">
        <v>194</v>
      </c>
      <c r="J115" s="18">
        <v>600</v>
      </c>
      <c r="K115" s="17" t="s">
        <v>190</v>
      </c>
      <c r="L115" s="19">
        <v>14.8</v>
      </c>
      <c r="M115" s="19">
        <v>37.6</v>
      </c>
      <c r="N115" s="19">
        <v>26.7</v>
      </c>
      <c r="O115" s="20">
        <f t="shared" si="9"/>
        <v>79.100000000000009</v>
      </c>
      <c r="P115" s="21">
        <f t="shared" si="10"/>
        <v>0.1871049304677623</v>
      </c>
      <c r="Q115" s="22">
        <v>29.632999999999999</v>
      </c>
      <c r="R115" s="23">
        <f t="shared" si="11"/>
        <v>2.9632999999999998</v>
      </c>
      <c r="S115" s="15" t="s">
        <v>191</v>
      </c>
    </row>
    <row r="116" spans="1:19" x14ac:dyDescent="0.35">
      <c r="A116" s="15" t="s">
        <v>35</v>
      </c>
      <c r="B116" s="12" t="s">
        <v>119</v>
      </c>
      <c r="C116" s="15" t="s">
        <v>20</v>
      </c>
      <c r="D116" s="15" t="s">
        <v>13</v>
      </c>
      <c r="E116" s="15" t="s">
        <v>34</v>
      </c>
      <c r="F116" s="17" t="s">
        <v>65</v>
      </c>
      <c r="G116" s="17" t="s">
        <v>175</v>
      </c>
      <c r="H116" s="15" t="s">
        <v>176</v>
      </c>
      <c r="I116" s="15" t="s">
        <v>195</v>
      </c>
      <c r="J116" s="18">
        <v>600</v>
      </c>
      <c r="K116" s="17" t="s">
        <v>190</v>
      </c>
      <c r="L116" s="19">
        <v>12.2</v>
      </c>
      <c r="M116" s="19">
        <v>17.100000000000001</v>
      </c>
      <c r="N116" s="19">
        <v>21.2</v>
      </c>
      <c r="O116" s="20">
        <f t="shared" si="9"/>
        <v>50.5</v>
      </c>
      <c r="P116" s="21">
        <f t="shared" si="10"/>
        <v>0.24158415841584158</v>
      </c>
      <c r="Q116" s="22">
        <v>47.033000000000001</v>
      </c>
      <c r="R116" s="23">
        <f t="shared" si="11"/>
        <v>4.7033000000000005</v>
      </c>
      <c r="S116" s="15" t="s">
        <v>191</v>
      </c>
    </row>
    <row r="117" spans="1:19" x14ac:dyDescent="0.35">
      <c r="A117" s="15" t="s">
        <v>35</v>
      </c>
      <c r="B117" s="12" t="s">
        <v>119</v>
      </c>
      <c r="C117" s="15" t="s">
        <v>20</v>
      </c>
      <c r="D117" s="15" t="s">
        <v>13</v>
      </c>
      <c r="E117" s="15" t="s">
        <v>38</v>
      </c>
      <c r="F117" s="17" t="s">
        <v>81</v>
      </c>
      <c r="G117" s="17" t="s">
        <v>166</v>
      </c>
      <c r="H117" s="15" t="s">
        <v>167</v>
      </c>
      <c r="I117" s="15" t="s">
        <v>196</v>
      </c>
      <c r="J117" s="18">
        <v>600</v>
      </c>
      <c r="K117" s="17" t="s">
        <v>69</v>
      </c>
      <c r="L117" s="19">
        <v>8.5</v>
      </c>
      <c r="M117" s="19">
        <v>8.6999999999999993</v>
      </c>
      <c r="N117" s="19">
        <v>12.4</v>
      </c>
      <c r="O117" s="20">
        <f t="shared" si="9"/>
        <v>29.6</v>
      </c>
      <c r="P117" s="21">
        <f t="shared" si="10"/>
        <v>0.28716216216216217</v>
      </c>
      <c r="Q117" s="22">
        <v>43.962000000000003</v>
      </c>
      <c r="R117" s="23">
        <f t="shared" si="11"/>
        <v>4.3962000000000003</v>
      </c>
      <c r="S117" s="15" t="s">
        <v>70</v>
      </c>
    </row>
    <row r="118" spans="1:19" x14ac:dyDescent="0.35">
      <c r="A118" s="15" t="s">
        <v>35</v>
      </c>
      <c r="B118" s="12" t="s">
        <v>119</v>
      </c>
      <c r="C118" s="15" t="s">
        <v>20</v>
      </c>
      <c r="D118" s="15" t="s">
        <v>13</v>
      </c>
      <c r="E118" s="15" t="s">
        <v>38</v>
      </c>
      <c r="F118" s="17" t="s">
        <v>81</v>
      </c>
      <c r="G118" s="17" t="s">
        <v>166</v>
      </c>
      <c r="H118" s="15" t="s">
        <v>167</v>
      </c>
      <c r="I118" s="15" t="s">
        <v>197</v>
      </c>
      <c r="J118" s="18">
        <v>600</v>
      </c>
      <c r="K118" s="17" t="s">
        <v>69</v>
      </c>
      <c r="L118" s="19">
        <v>18.2</v>
      </c>
      <c r="M118" s="19">
        <v>9</v>
      </c>
      <c r="N118" s="19">
        <v>15.6</v>
      </c>
      <c r="O118" s="20">
        <f t="shared" si="9"/>
        <v>42.8</v>
      </c>
      <c r="P118" s="21">
        <f t="shared" si="10"/>
        <v>0.42523364485981308</v>
      </c>
      <c r="Q118" s="22">
        <v>58.746000000000002</v>
      </c>
      <c r="R118" s="23">
        <f t="shared" si="11"/>
        <v>5.8746</v>
      </c>
      <c r="S118" s="15" t="s">
        <v>70</v>
      </c>
    </row>
    <row r="119" spans="1:19" x14ac:dyDescent="0.35">
      <c r="A119" s="15" t="s">
        <v>35</v>
      </c>
      <c r="B119" s="12" t="s">
        <v>119</v>
      </c>
      <c r="C119" s="15" t="s">
        <v>20</v>
      </c>
      <c r="D119" s="15" t="s">
        <v>13</v>
      </c>
      <c r="E119" s="15" t="s">
        <v>38</v>
      </c>
      <c r="F119" s="17" t="s">
        <v>81</v>
      </c>
      <c r="G119" s="17" t="s">
        <v>166</v>
      </c>
      <c r="H119" s="15" t="s">
        <v>167</v>
      </c>
      <c r="I119" s="15" t="s">
        <v>198</v>
      </c>
      <c r="J119" s="18">
        <v>600</v>
      </c>
      <c r="K119" s="17" t="s">
        <v>69</v>
      </c>
      <c r="L119" s="19">
        <v>12.6</v>
      </c>
      <c r="M119" s="19">
        <v>4.9000000000000004</v>
      </c>
      <c r="N119" s="19">
        <v>7.2</v>
      </c>
      <c r="O119" s="20">
        <f t="shared" si="9"/>
        <v>24.7</v>
      </c>
      <c r="P119" s="21">
        <f t="shared" si="10"/>
        <v>0.51012145748987858</v>
      </c>
      <c r="Q119" s="22">
        <v>54.036000000000001</v>
      </c>
      <c r="R119" s="23">
        <f t="shared" si="11"/>
        <v>5.4036</v>
      </c>
      <c r="S119" s="15" t="s">
        <v>70</v>
      </c>
    </row>
    <row r="120" spans="1:19" x14ac:dyDescent="0.35">
      <c r="A120" s="15" t="s">
        <v>35</v>
      </c>
      <c r="B120" s="12" t="s">
        <v>119</v>
      </c>
      <c r="C120" s="15" t="s">
        <v>20</v>
      </c>
      <c r="D120" s="15" t="s">
        <v>13</v>
      </c>
      <c r="E120" s="15" t="s">
        <v>38</v>
      </c>
      <c r="F120" s="17" t="s">
        <v>74</v>
      </c>
      <c r="G120" s="17" t="s">
        <v>161</v>
      </c>
      <c r="H120" s="15" t="s">
        <v>162</v>
      </c>
      <c r="I120" s="15" t="s">
        <v>199</v>
      </c>
      <c r="J120" s="18">
        <v>600</v>
      </c>
      <c r="K120" s="17" t="s">
        <v>69</v>
      </c>
      <c r="L120" s="19">
        <v>16.100000000000001</v>
      </c>
      <c r="M120" s="19">
        <v>5.6</v>
      </c>
      <c r="N120" s="19">
        <v>6</v>
      </c>
      <c r="O120" s="20">
        <f t="shared" si="9"/>
        <v>27.700000000000003</v>
      </c>
      <c r="P120" s="21">
        <f t="shared" si="10"/>
        <v>0.58122743682310474</v>
      </c>
      <c r="Q120" s="22">
        <v>45.313000000000002</v>
      </c>
      <c r="R120" s="23">
        <f t="shared" si="11"/>
        <v>4.5312999999999999</v>
      </c>
      <c r="S120" s="15" t="s">
        <v>70</v>
      </c>
    </row>
    <row r="121" spans="1:19" x14ac:dyDescent="0.35">
      <c r="A121" s="15" t="s">
        <v>35</v>
      </c>
      <c r="B121" s="12" t="s">
        <v>119</v>
      </c>
      <c r="C121" s="15" t="s">
        <v>20</v>
      </c>
      <c r="D121" s="15" t="s">
        <v>13</v>
      </c>
      <c r="E121" s="15" t="s">
        <v>38</v>
      </c>
      <c r="F121" s="17" t="s">
        <v>74</v>
      </c>
      <c r="G121" s="17" t="s">
        <v>161</v>
      </c>
      <c r="H121" s="15" t="s">
        <v>162</v>
      </c>
      <c r="I121" s="15" t="s">
        <v>200</v>
      </c>
      <c r="J121" s="18">
        <v>600</v>
      </c>
      <c r="K121" s="17" t="s">
        <v>69</v>
      </c>
      <c r="L121" s="19">
        <v>27.3</v>
      </c>
      <c r="M121" s="19">
        <v>23.8</v>
      </c>
      <c r="N121" s="19">
        <v>18.2</v>
      </c>
      <c r="O121" s="20">
        <f t="shared" si="9"/>
        <v>69.3</v>
      </c>
      <c r="P121" s="21">
        <f t="shared" si="10"/>
        <v>0.39393939393939398</v>
      </c>
      <c r="Q121" s="22">
        <v>37.613</v>
      </c>
      <c r="R121" s="23">
        <f t="shared" si="11"/>
        <v>3.7612999999999999</v>
      </c>
      <c r="S121" s="15" t="s">
        <v>70</v>
      </c>
    </row>
    <row r="123" spans="1:19" x14ac:dyDescent="0.35">
      <c r="A123" s="16" t="s">
        <v>201</v>
      </c>
    </row>
    <row r="124" spans="1:19" x14ac:dyDescent="0.35">
      <c r="A124" s="16" t="s">
        <v>202</v>
      </c>
    </row>
    <row r="125" spans="1:19" x14ac:dyDescent="0.35">
      <c r="A125" s="16" t="s">
        <v>203</v>
      </c>
    </row>
    <row r="126" spans="1:19" x14ac:dyDescent="0.35">
      <c r="A126" s="16" t="s">
        <v>204</v>
      </c>
    </row>
    <row r="127" spans="1:19" x14ac:dyDescent="0.35">
      <c r="A127" s="16" t="s">
        <v>205</v>
      </c>
    </row>
  </sheetData>
  <autoFilter ref="A4:S121" xr:uid="{00000000-0009-0000-0000-000001000000}"/>
  <mergeCells count="1">
    <mergeCell ref="A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zoomScaleNormal="100" workbookViewId="0"/>
  </sheetViews>
  <sheetFormatPr baseColWidth="10" defaultColWidth="8.6328125" defaultRowHeight="14.5" x14ac:dyDescent="0.35"/>
  <cols>
    <col min="1" max="6" width="18" customWidth="1"/>
  </cols>
  <sheetData>
    <row r="1" spans="1:6" ht="16.5" x14ac:dyDescent="0.35">
      <c r="A1" s="4" t="s">
        <v>206</v>
      </c>
    </row>
    <row r="2" spans="1:6" x14ac:dyDescent="0.35">
      <c r="A2" s="16" t="s">
        <v>207</v>
      </c>
    </row>
    <row r="4" spans="1:6" x14ac:dyDescent="0.35">
      <c r="A4" s="13" t="s">
        <v>208</v>
      </c>
    </row>
    <row r="5" spans="1:6" x14ac:dyDescent="0.35">
      <c r="A5" s="26" t="s">
        <v>15</v>
      </c>
      <c r="B5" s="27" t="s">
        <v>16</v>
      </c>
      <c r="C5" s="28" t="s">
        <v>17</v>
      </c>
      <c r="D5" s="26" t="s">
        <v>18</v>
      </c>
      <c r="E5" s="27" t="s">
        <v>19</v>
      </c>
      <c r="F5" s="28" t="s">
        <v>20</v>
      </c>
    </row>
    <row r="6" spans="1:6" x14ac:dyDescent="0.35">
      <c r="A6" s="19">
        <f>IF(ISNUMBER('Datos por animal'!O5),'Datos por animal'!O5,"")</f>
        <v>45.599999999999994</v>
      </c>
      <c r="B6" s="19">
        <f>IF(ISNUMBER('Datos por animal'!O24),'Datos por animal'!O24,"")</f>
        <v>47.699999999999996</v>
      </c>
      <c r="C6" s="19">
        <f>IF(ISNUMBER('Datos por animal'!O42),'Datos por animal'!O42,"")</f>
        <v>22.8</v>
      </c>
      <c r="D6" s="19">
        <f>IF(ISNUMBER('Datos por animal'!O62),'Datos por animal'!O62,"")</f>
        <v>24.5</v>
      </c>
      <c r="E6" s="19">
        <f>IF(ISNUMBER('Datos por animal'!O82),'Datos por animal'!O82,"")</f>
        <v>42.6</v>
      </c>
      <c r="F6" s="19">
        <f>IF(ISNUMBER('Datos por animal'!O102),'Datos por animal'!O102,"")</f>
        <v>81.099999999999994</v>
      </c>
    </row>
    <row r="7" spans="1:6" x14ac:dyDescent="0.35">
      <c r="A7" s="19">
        <f>IF(ISNUMBER('Datos por animal'!O6),'Datos por animal'!O6,"")</f>
        <v>54.3</v>
      </c>
      <c r="B7" s="19">
        <f>IF(ISNUMBER('Datos por animal'!O25),'Datos por animal'!O25,"")</f>
        <v>77.599999999999994</v>
      </c>
      <c r="C7" s="19">
        <f>IF(ISNUMBER('Datos por animal'!O43),'Datos por animal'!O43,"")</f>
        <v>19</v>
      </c>
      <c r="D7" s="19">
        <f>IF(ISNUMBER('Datos por animal'!O63),'Datos por animal'!O63,"")</f>
        <v>44.3</v>
      </c>
      <c r="E7" s="19">
        <f>IF(ISNUMBER('Datos por animal'!O83),'Datos por animal'!O83,"")</f>
        <v>29</v>
      </c>
      <c r="F7" s="19">
        <f>IF(ISNUMBER('Datos por animal'!O103),'Datos por animal'!O103,"")</f>
        <v>49.699999999999996</v>
      </c>
    </row>
    <row r="8" spans="1:6" x14ac:dyDescent="0.35">
      <c r="A8" s="19">
        <f>IF(ISNUMBER('Datos por animal'!O7),'Datos por animal'!O7,"")</f>
        <v>26.9</v>
      </c>
      <c r="B8" s="19">
        <f>IF(ISNUMBER('Datos por animal'!O26),'Datos por animal'!O26,"")</f>
        <v>70.099999999999994</v>
      </c>
      <c r="C8" s="19">
        <f>IF(ISNUMBER('Datos por animal'!O44),'Datos por animal'!O44,"")</f>
        <v>24.4</v>
      </c>
      <c r="D8" s="19">
        <f>IF(ISNUMBER('Datos por animal'!O64),'Datos por animal'!O64,"")</f>
        <v>59.8</v>
      </c>
      <c r="E8" s="19">
        <f>IF(ISNUMBER('Datos por animal'!O84),'Datos por animal'!O84,"")</f>
        <v>42.2</v>
      </c>
      <c r="F8" s="19">
        <f>IF(ISNUMBER('Datos por animal'!O104),'Datos por animal'!O104,"")</f>
        <v>101.3</v>
      </c>
    </row>
    <row r="9" spans="1:6" x14ac:dyDescent="0.35">
      <c r="A9" s="19">
        <f>IF(ISNUMBER('Datos por animal'!O8),'Datos por animal'!O8,"")</f>
        <v>25.299999999999997</v>
      </c>
      <c r="B9" s="19">
        <f>IF(ISNUMBER('Datos por animal'!O27),'Datos por animal'!O27,"")</f>
        <v>39.700000000000003</v>
      </c>
      <c r="C9" s="19">
        <f>IF(ISNUMBER('Datos por animal'!O45),'Datos por animal'!O45,"")</f>
        <v>34.9</v>
      </c>
      <c r="D9" s="19">
        <f>IF(ISNUMBER('Datos por animal'!O65),'Datos por animal'!O65,"")</f>
        <v>67.900000000000006</v>
      </c>
      <c r="E9" s="19">
        <f>IF(ISNUMBER('Datos por animal'!O85),'Datos por animal'!O85,"")</f>
        <v>24.299999999999997</v>
      </c>
      <c r="F9" s="19">
        <f>IF(ISNUMBER('Datos por animal'!O105),'Datos por animal'!O105,"")</f>
        <v>57.2</v>
      </c>
    </row>
    <row r="10" spans="1:6" x14ac:dyDescent="0.35">
      <c r="A10" s="19">
        <f>IF(ISNUMBER('Datos por animal'!O9),'Datos por animal'!O9,"")</f>
        <v>33.800000000000004</v>
      </c>
      <c r="B10" s="19">
        <f>IF(ISNUMBER('Datos por animal'!O28),'Datos por animal'!O28,"")</f>
        <v>51.6</v>
      </c>
      <c r="C10" s="19">
        <f>IF(ISNUMBER('Datos por animal'!O46),'Datos por animal'!O46,"")</f>
        <v>29.5</v>
      </c>
      <c r="D10" s="19">
        <f>IF(ISNUMBER('Datos por animal'!O66),'Datos por animal'!O66,"")</f>
        <v>72.099999999999994</v>
      </c>
      <c r="E10" s="19">
        <f>IF(ISNUMBER('Datos por animal'!O86),'Datos por animal'!O86,"")</f>
        <v>38.299999999999997</v>
      </c>
      <c r="F10" s="19">
        <f>IF(ISNUMBER('Datos por animal'!O106),'Datos por animal'!O106,"")</f>
        <v>60.3</v>
      </c>
    </row>
    <row r="11" spans="1:6" x14ac:dyDescent="0.35">
      <c r="A11" s="19">
        <f>IF(ISNUMBER('Datos por animal'!O10),'Datos por animal'!O10,"")</f>
        <v>30.6</v>
      </c>
      <c r="B11" s="19">
        <f>IF(ISNUMBER('Datos por animal'!O29),'Datos por animal'!O29,"")</f>
        <v>60.5</v>
      </c>
      <c r="C11" s="19">
        <f>IF(ISNUMBER('Datos por animal'!O47),'Datos por animal'!O47,"")</f>
        <v>70</v>
      </c>
      <c r="D11" s="19">
        <f>IF(ISNUMBER('Datos por animal'!O67),'Datos por animal'!O67,"")</f>
        <v>38</v>
      </c>
      <c r="E11" s="19">
        <f>IF(ISNUMBER('Datos por animal'!O87),'Datos por animal'!O87,"")</f>
        <v>26.9</v>
      </c>
      <c r="F11" s="19">
        <f>IF(ISNUMBER('Datos por animal'!O107),'Datos por animal'!O107,"")</f>
        <v>30.299999999999997</v>
      </c>
    </row>
    <row r="12" spans="1:6" x14ac:dyDescent="0.35">
      <c r="A12" s="19">
        <f>IF(ISNUMBER('Datos por animal'!O11),'Datos por animal'!O11,"")</f>
        <v>31.1</v>
      </c>
      <c r="B12" s="19">
        <f>IF(ISNUMBER('Datos por animal'!O30),'Datos por animal'!O30,"")</f>
        <v>56.900000000000006</v>
      </c>
      <c r="C12" s="19">
        <f>IF(ISNUMBER('Datos por animal'!O48),'Datos por animal'!O48,"")</f>
        <v>73.399999999999991</v>
      </c>
      <c r="D12" s="19">
        <f>IF(ISNUMBER('Datos por animal'!O68),'Datos por animal'!O68,"")</f>
        <v>54.3</v>
      </c>
      <c r="E12" s="19">
        <f>IF(ISNUMBER('Datos por animal'!O88),'Datos por animal'!O88,"")</f>
        <v>38</v>
      </c>
      <c r="F12" s="19">
        <f>IF(ISNUMBER('Datos por animal'!O108),'Datos por animal'!O108,"")</f>
        <v>34.799999999999997</v>
      </c>
    </row>
    <row r="13" spans="1:6" x14ac:dyDescent="0.35">
      <c r="A13" s="19">
        <f>IF(ISNUMBER('Datos por animal'!O12),'Datos por animal'!O12,"")</f>
        <v>6.6</v>
      </c>
      <c r="B13" s="19">
        <f>IF(ISNUMBER('Datos por animal'!O31),'Datos por animal'!O31,"")</f>
        <v>30.9</v>
      </c>
      <c r="C13" s="19">
        <f>IF(ISNUMBER('Datos por animal'!O49),'Datos por animal'!O49,"")</f>
        <v>96.4</v>
      </c>
      <c r="D13" s="19">
        <f>IF(ISNUMBER('Datos por animal'!O69),'Datos por animal'!O69,"")</f>
        <v>25.9</v>
      </c>
      <c r="E13" s="19">
        <f>IF(ISNUMBER('Datos por animal'!O89),'Datos por animal'!O89,"")</f>
        <v>35.5</v>
      </c>
      <c r="F13" s="19">
        <f>IF(ISNUMBER('Datos por animal'!O109),'Datos por animal'!O109,"")</f>
        <v>35.4</v>
      </c>
    </row>
    <row r="14" spans="1:6" x14ac:dyDescent="0.35">
      <c r="A14" s="19">
        <f>IF(ISNUMBER('Datos por animal'!O13),'Datos por animal'!O13,"")</f>
        <v>21.5</v>
      </c>
      <c r="B14" s="19">
        <f>IF(ISNUMBER('Datos por animal'!O32),'Datos por animal'!O32,"")</f>
        <v>21.5</v>
      </c>
      <c r="C14" s="19">
        <f>IF(ISNUMBER('Datos por animal'!O50),'Datos por animal'!O50,"")</f>
        <v>26.9</v>
      </c>
      <c r="D14" s="19">
        <f>IF(ISNUMBER('Datos por animal'!O70),'Datos por animal'!O70,"")</f>
        <v>23.9</v>
      </c>
      <c r="E14" s="19">
        <f>IF(ISNUMBER('Datos por animal'!O90),'Datos por animal'!O90,"")</f>
        <v>55.9</v>
      </c>
      <c r="F14" s="19">
        <f>IF(ISNUMBER('Datos por animal'!O110),'Datos por animal'!O110,"")</f>
        <v>26.2</v>
      </c>
    </row>
    <row r="15" spans="1:6" x14ac:dyDescent="0.35">
      <c r="C15" s="19">
        <f>IF(ISNUMBER('Datos por animal'!O51),'Datos por animal'!O51,"")</f>
        <v>37</v>
      </c>
      <c r="D15" s="19">
        <f>IF(ISNUMBER('Datos por animal'!O71),'Datos por animal'!O71,"")</f>
        <v>18.100000000000001</v>
      </c>
      <c r="E15" s="19">
        <f>IF(ISNUMBER('Datos por animal'!O91),'Datos por animal'!O91,"")</f>
        <v>39.1</v>
      </c>
      <c r="F15" s="19">
        <f>IF(ISNUMBER('Datos por animal'!O111),'Datos por animal'!O111,"")</f>
        <v>84.4</v>
      </c>
    </row>
    <row r="18" spans="1:6" x14ac:dyDescent="0.35">
      <c r="A18" s="13" t="s">
        <v>209</v>
      </c>
    </row>
    <row r="19" spans="1:6" x14ac:dyDescent="0.35">
      <c r="A19" s="26" t="s">
        <v>15</v>
      </c>
      <c r="B19" s="27" t="s">
        <v>16</v>
      </c>
      <c r="C19" s="28" t="s">
        <v>17</v>
      </c>
      <c r="D19" s="26" t="s">
        <v>18</v>
      </c>
      <c r="E19" s="27" t="s">
        <v>19</v>
      </c>
      <c r="F19" s="28" t="s">
        <v>20</v>
      </c>
    </row>
    <row r="20" spans="1:6" x14ac:dyDescent="0.35">
      <c r="A20" s="19">
        <f>IF(ISNUMBER('Datos por animal'!O14),'Datos por animal'!O14,"")</f>
        <v>37.6</v>
      </c>
      <c r="B20" s="19">
        <f>IF(ISNUMBER('Datos por animal'!O33),'Datos por animal'!O33,"")</f>
        <v>71.2</v>
      </c>
      <c r="C20" s="19">
        <f>IF(ISNUMBER('Datos por animal'!O52),'Datos por animal'!O52,"")</f>
        <v>28.299999999999997</v>
      </c>
      <c r="D20" s="19">
        <f>IF(ISNUMBER('Datos por animal'!O72),'Datos por animal'!O72,"")</f>
        <v>37.9</v>
      </c>
      <c r="E20" s="19">
        <f>IF(ISNUMBER('Datos por animal'!O92),'Datos por animal'!O92,"")</f>
        <v>34.599999999999994</v>
      </c>
      <c r="F20" s="19">
        <f>IF(ISNUMBER('Datos por animal'!O112),'Datos por animal'!O112,"")</f>
        <v>56.199999999999996</v>
      </c>
    </row>
    <row r="21" spans="1:6" x14ac:dyDescent="0.35">
      <c r="A21" s="19">
        <f>IF(ISNUMBER('Datos por animal'!O15),'Datos por animal'!O15,"")</f>
        <v>36.5</v>
      </c>
      <c r="B21" s="19">
        <f>IF(ISNUMBER('Datos por animal'!O34),'Datos por animal'!O34,"")</f>
        <v>43.1</v>
      </c>
      <c r="C21" s="19">
        <f>IF(ISNUMBER('Datos por animal'!O53),'Datos por animal'!O53,"")</f>
        <v>50.2</v>
      </c>
      <c r="D21" s="19">
        <f>IF(ISNUMBER('Datos por animal'!O73),'Datos por animal'!O73,"")</f>
        <v>44.400000000000006</v>
      </c>
      <c r="E21" s="19">
        <f>IF(ISNUMBER('Datos por animal'!O93),'Datos por animal'!O93,"")</f>
        <v>27.1</v>
      </c>
      <c r="F21" s="19">
        <f>IF(ISNUMBER('Datos por animal'!O113),'Datos por animal'!O113,"")</f>
        <v>74.8</v>
      </c>
    </row>
    <row r="22" spans="1:6" x14ac:dyDescent="0.35">
      <c r="A22" s="19">
        <f>IF(ISNUMBER('Datos por animal'!O16),'Datos por animal'!O16,"")</f>
        <v>22.8</v>
      </c>
      <c r="B22" s="19">
        <f>IF(ISNUMBER('Datos por animal'!O35),'Datos por animal'!O35,"")</f>
        <v>63.1</v>
      </c>
      <c r="C22" s="19">
        <f>IF(ISNUMBER('Datos por animal'!O54),'Datos por animal'!O54,"")</f>
        <v>36.5</v>
      </c>
      <c r="D22" s="19">
        <f>IF(ISNUMBER('Datos por animal'!O74),'Datos por animal'!O74,"")</f>
        <v>30.1</v>
      </c>
      <c r="E22" s="19">
        <f>IF(ISNUMBER('Datos por animal'!O94),'Datos por animal'!O94,"")</f>
        <v>53</v>
      </c>
      <c r="F22" s="19">
        <f>IF(ISNUMBER('Datos por animal'!O114),'Datos por animal'!O114,"")</f>
        <v>99.7</v>
      </c>
    </row>
    <row r="23" spans="1:6" x14ac:dyDescent="0.35">
      <c r="A23" s="19">
        <f>IF(ISNUMBER('Datos por animal'!O17),'Datos por animal'!O17,"")</f>
        <v>35.299999999999997</v>
      </c>
      <c r="B23" s="19">
        <f>IF(ISNUMBER('Datos por animal'!O36),'Datos por animal'!O36,"")</f>
        <v>59.400000000000006</v>
      </c>
      <c r="C23" s="19">
        <f>IF(ISNUMBER('Datos por animal'!O55),'Datos por animal'!O55,"")</f>
        <v>28</v>
      </c>
      <c r="D23" s="19">
        <f>IF(ISNUMBER('Datos por animal'!O75),'Datos por animal'!O75,"")</f>
        <v>26.000000000000004</v>
      </c>
      <c r="E23" s="19">
        <f>IF(ISNUMBER('Datos por animal'!O95),'Datos por animal'!O95,"")</f>
        <v>34.799999999999997</v>
      </c>
      <c r="F23" s="19">
        <f>IF(ISNUMBER('Datos por animal'!O115),'Datos por animal'!O115,"")</f>
        <v>79.100000000000009</v>
      </c>
    </row>
    <row r="24" spans="1:6" x14ac:dyDescent="0.35">
      <c r="A24" s="19">
        <f>IF(ISNUMBER('Datos por animal'!O18),'Datos por animal'!O18,"")</f>
        <v>28.900000000000002</v>
      </c>
      <c r="B24" s="19">
        <f>IF(ISNUMBER('Datos por animal'!O37),'Datos por animal'!O37,"")</f>
        <v>52.5</v>
      </c>
      <c r="C24" s="19">
        <f>IF(ISNUMBER('Datos por animal'!O56),'Datos por animal'!O56,"")</f>
        <v>22.7</v>
      </c>
      <c r="D24" s="19">
        <f>IF(ISNUMBER('Datos por animal'!O76),'Datos por animal'!O76,"")</f>
        <v>35.700000000000003</v>
      </c>
      <c r="E24" s="19">
        <f>IF(ISNUMBER('Datos por animal'!O96),'Datos por animal'!O96,"")</f>
        <v>26.1</v>
      </c>
      <c r="F24" s="19">
        <f>IF(ISNUMBER('Datos por animal'!O116),'Datos por animal'!O116,"")</f>
        <v>50.5</v>
      </c>
    </row>
    <row r="25" spans="1:6" x14ac:dyDescent="0.35">
      <c r="A25" s="19">
        <f>IF(ISNUMBER('Datos por animal'!O19),'Datos por animal'!O19,"")</f>
        <v>49.3</v>
      </c>
      <c r="B25" s="19">
        <f>IF(ISNUMBER('Datos por animal'!O38),'Datos por animal'!O38,"")</f>
        <v>43.500000000000007</v>
      </c>
      <c r="C25" s="19">
        <f>IF(ISNUMBER('Datos por animal'!O57),'Datos por animal'!O57,"")</f>
        <v>16.399999999999999</v>
      </c>
      <c r="D25" s="19">
        <f>IF(ISNUMBER('Datos por animal'!O77),'Datos por animal'!O77,"")</f>
        <v>17.899999999999999</v>
      </c>
      <c r="E25" s="19">
        <f>IF(ISNUMBER('Datos por animal'!O97),'Datos por animal'!O97,"")</f>
        <v>33.5</v>
      </c>
      <c r="F25" s="19">
        <f>IF(ISNUMBER('Datos por animal'!O117),'Datos por animal'!O117,"")</f>
        <v>29.6</v>
      </c>
    </row>
    <row r="26" spans="1:6" x14ac:dyDescent="0.35">
      <c r="A26" s="19">
        <f>IF(ISNUMBER('Datos por animal'!O20),'Datos por animal'!O20,"")</f>
        <v>31.2</v>
      </c>
      <c r="B26" s="19">
        <f>IF(ISNUMBER('Datos por animal'!O39),'Datos por animal'!O39,"")</f>
        <v>46.8</v>
      </c>
      <c r="C26" s="19">
        <f>IF(ISNUMBER('Datos por animal'!O58),'Datos por animal'!O58,"")</f>
        <v>17.5</v>
      </c>
      <c r="D26" s="19">
        <f>IF(ISNUMBER('Datos por animal'!O78),'Datos por animal'!O78,"")</f>
        <v>16.100000000000001</v>
      </c>
      <c r="E26" s="19">
        <f>IF(ISNUMBER('Datos por animal'!O98),'Datos por animal'!O98,"")</f>
        <v>31.300000000000004</v>
      </c>
      <c r="F26" s="19">
        <f>IF(ISNUMBER('Datos por animal'!O118),'Datos por animal'!O118,"")</f>
        <v>42.8</v>
      </c>
    </row>
    <row r="27" spans="1:6" x14ac:dyDescent="0.35">
      <c r="A27" s="19">
        <f>IF(ISNUMBER('Datos por animal'!O21),'Datos por animal'!O21,"")</f>
        <v>26</v>
      </c>
      <c r="B27" s="19">
        <f>IF(ISNUMBER('Datos por animal'!O40),'Datos por animal'!O40,"")</f>
        <v>74.5</v>
      </c>
      <c r="C27" s="19">
        <f>IF(ISNUMBER('Datos por animal'!O59),'Datos por animal'!O59,"")</f>
        <v>64.400000000000006</v>
      </c>
      <c r="D27" s="19">
        <f>IF(ISNUMBER('Datos por animal'!O79),'Datos por animal'!O79,"")</f>
        <v>20.9</v>
      </c>
      <c r="E27" s="19">
        <f>IF(ISNUMBER('Datos por animal'!O99),'Datos por animal'!O99,"")</f>
        <v>50.8</v>
      </c>
      <c r="F27" s="19">
        <f>IF(ISNUMBER('Datos por animal'!O119),'Datos por animal'!O119,"")</f>
        <v>24.7</v>
      </c>
    </row>
    <row r="28" spans="1:6" x14ac:dyDescent="0.35">
      <c r="A28" s="19">
        <f>IF(ISNUMBER('Datos por animal'!O22),'Datos por animal'!O22,"")</f>
        <v>26.6</v>
      </c>
      <c r="B28" s="19">
        <f>IF(ISNUMBER('Datos por animal'!O41),'Datos por animal'!O41,"")</f>
        <v>69.900000000000006</v>
      </c>
      <c r="C28" s="19">
        <f>IF(ISNUMBER('Datos por animal'!O60),'Datos por animal'!O60,"")</f>
        <v>52.4</v>
      </c>
      <c r="D28" s="19">
        <f>IF(ISNUMBER('Datos por animal'!O80),'Datos por animal'!O80,"")</f>
        <v>27.1</v>
      </c>
      <c r="E28" s="19">
        <f>IF(ISNUMBER('Datos por animal'!O100),'Datos por animal'!O100,"")</f>
        <v>44.400000000000006</v>
      </c>
      <c r="F28" s="19">
        <f>IF(ISNUMBER('Datos por animal'!O120),'Datos por animal'!O120,"")</f>
        <v>27.700000000000003</v>
      </c>
    </row>
    <row r="29" spans="1:6" x14ac:dyDescent="0.35">
      <c r="A29" s="19">
        <f>IF(ISNUMBER('Datos por animal'!O23),'Datos por animal'!O23,"")</f>
        <v>11.799999999999999</v>
      </c>
      <c r="C29" s="19">
        <f>IF(ISNUMBER('Datos por animal'!O61),'Datos por animal'!O61,"")</f>
        <v>83.2</v>
      </c>
      <c r="D29" s="19">
        <f>IF(ISNUMBER('Datos por animal'!O81),'Datos por animal'!O81,"")</f>
        <v>49.3</v>
      </c>
      <c r="E29" s="19">
        <f>IF(ISNUMBER('Datos por animal'!O101),'Datos por animal'!O101,"")</f>
        <v>42.1</v>
      </c>
      <c r="F29" s="19">
        <f>IF(ISNUMBER('Datos por animal'!O121),'Datos por animal'!O121,"")</f>
        <v>69.3</v>
      </c>
    </row>
    <row r="32" spans="1:6" x14ac:dyDescent="0.35">
      <c r="A32" s="13" t="s">
        <v>210</v>
      </c>
    </row>
    <row r="33" spans="1:6" x14ac:dyDescent="0.35">
      <c r="A33" s="26" t="s">
        <v>15</v>
      </c>
      <c r="B33" s="27" t="s">
        <v>16</v>
      </c>
      <c r="C33" s="28" t="s">
        <v>17</v>
      </c>
      <c r="D33" s="26" t="s">
        <v>18</v>
      </c>
      <c r="E33" s="27" t="s">
        <v>19</v>
      </c>
      <c r="F33" s="28" t="s">
        <v>20</v>
      </c>
    </row>
    <row r="34" spans="1:6" x14ac:dyDescent="0.35">
      <c r="A34" s="29">
        <f>IF(ISNUMBER('Datos por animal'!P5),'Datos por animal'!P5,"")</f>
        <v>0.18859649122807018</v>
      </c>
      <c r="B34" s="29">
        <f>IF(ISNUMBER('Datos por animal'!P24),'Datos por animal'!P24,"")</f>
        <v>0.25576519916142559</v>
      </c>
      <c r="C34" s="29">
        <f>IF(ISNUMBER('Datos por animal'!P42),'Datos por animal'!P42,"")</f>
        <v>0.22368421052631576</v>
      </c>
      <c r="D34" s="29">
        <f>IF(ISNUMBER('Datos por animal'!P62),'Datos por animal'!P62,"")</f>
        <v>0.27346938775510204</v>
      </c>
      <c r="E34" s="29">
        <f>IF(ISNUMBER('Datos por animal'!P82),'Datos por animal'!P82,"")</f>
        <v>0.42253521126760563</v>
      </c>
      <c r="F34" s="29">
        <f>IF(ISNUMBER('Datos por animal'!P102),'Datos por animal'!P102,"")</f>
        <v>0.36128236744759562</v>
      </c>
    </row>
    <row r="35" spans="1:6" x14ac:dyDescent="0.35">
      <c r="A35" s="29">
        <f>IF(ISNUMBER('Datos por animal'!P6),'Datos por animal'!P6,"")</f>
        <v>0.19889502762430941</v>
      </c>
      <c r="B35" s="29">
        <f>IF(ISNUMBER('Datos por animal'!P25),'Datos por animal'!P25,"")</f>
        <v>0.43298969072164956</v>
      </c>
      <c r="C35" s="29">
        <f>IF(ISNUMBER('Datos por animal'!P43),'Datos por animal'!P43,"")</f>
        <v>0.38421052631578945</v>
      </c>
      <c r="D35" s="29">
        <f>IF(ISNUMBER('Datos por animal'!P63),'Datos por animal'!P63,"")</f>
        <v>0.58690744920993232</v>
      </c>
      <c r="E35" s="29">
        <f>IF(ISNUMBER('Datos por animal'!P83),'Datos por animal'!P83,"")</f>
        <v>0.20689655172413793</v>
      </c>
      <c r="F35" s="29">
        <f>IF(ISNUMBER('Datos por animal'!P103),'Datos por animal'!P103,"")</f>
        <v>0.26156941649899401</v>
      </c>
    </row>
    <row r="36" spans="1:6" x14ac:dyDescent="0.35">
      <c r="A36" s="29">
        <f>IF(ISNUMBER('Datos por animal'!P7),'Datos por animal'!P7,"")</f>
        <v>0.26765799256505579</v>
      </c>
      <c r="B36" s="29">
        <f>IF(ISNUMBER('Datos por animal'!P26),'Datos por animal'!P26,"")</f>
        <v>0.39087018544935809</v>
      </c>
      <c r="C36" s="29">
        <f>IF(ISNUMBER('Datos por animal'!P44),'Datos por animal'!P44,"")</f>
        <v>0.16803278688524589</v>
      </c>
      <c r="D36" s="29">
        <f>IF(ISNUMBER('Datos por animal'!P64),'Datos por animal'!P64,"")</f>
        <v>0.52006688963210712</v>
      </c>
      <c r="E36" s="29">
        <f>IF(ISNUMBER('Datos por animal'!P84),'Datos por animal'!P84,"")</f>
        <v>0.12322274881516587</v>
      </c>
      <c r="F36" s="29">
        <f>IF(ISNUMBER('Datos por animal'!P104),'Datos por animal'!P104,"")</f>
        <v>0.24975320829220141</v>
      </c>
    </row>
    <row r="37" spans="1:6" x14ac:dyDescent="0.35">
      <c r="A37" s="29">
        <f>IF(ISNUMBER('Datos por animal'!P8),'Datos por animal'!P8,"")</f>
        <v>0.50988142292490124</v>
      </c>
      <c r="B37" s="29">
        <f>IF(ISNUMBER('Datos por animal'!P27),'Datos por animal'!P27,"")</f>
        <v>0.42317380352644834</v>
      </c>
      <c r="C37" s="29">
        <f>IF(ISNUMBER('Datos por animal'!P45),'Datos por animal'!P45,"")</f>
        <v>0.38681948424068768</v>
      </c>
      <c r="D37" s="29">
        <f>IF(ISNUMBER('Datos por animal'!P65),'Datos por animal'!P65,"")</f>
        <v>0.2812960235640648</v>
      </c>
      <c r="E37" s="29">
        <f>IF(ISNUMBER('Datos por animal'!P85),'Datos por animal'!P85,"")</f>
        <v>0.49382716049382724</v>
      </c>
      <c r="F37" s="29">
        <f>IF(ISNUMBER('Datos por animal'!P105),'Datos por animal'!P105,"")</f>
        <v>0.44230769230769229</v>
      </c>
    </row>
    <row r="38" spans="1:6" x14ac:dyDescent="0.35">
      <c r="A38" s="29">
        <f>IF(ISNUMBER('Datos por animal'!P9),'Datos por animal'!P9,"")</f>
        <v>0.378698224852071</v>
      </c>
      <c r="B38" s="29">
        <f>IF(ISNUMBER('Datos por animal'!P28),'Datos por animal'!P28,"")</f>
        <v>0.37790697674418605</v>
      </c>
      <c r="C38" s="29">
        <f>IF(ISNUMBER('Datos por animal'!P46),'Datos por animal'!P46,"")</f>
        <v>0.3559322033898305</v>
      </c>
      <c r="D38" s="29">
        <f>IF(ISNUMBER('Datos por animal'!P66),'Datos por animal'!P66,"")</f>
        <v>0.3009708737864078</v>
      </c>
      <c r="E38" s="29">
        <f>IF(ISNUMBER('Datos por animal'!P86),'Datos por animal'!P86,"")</f>
        <v>0.40731070496083555</v>
      </c>
      <c r="F38" s="29">
        <f>IF(ISNUMBER('Datos por animal'!P106),'Datos por animal'!P106,"")</f>
        <v>0.28855721393034822</v>
      </c>
    </row>
    <row r="39" spans="1:6" x14ac:dyDescent="0.35">
      <c r="A39" s="29">
        <f>IF(ISNUMBER('Datos por animal'!P10),'Datos por animal'!P10,"")</f>
        <v>0.15686274509803921</v>
      </c>
      <c r="B39" s="29">
        <f>IF(ISNUMBER('Datos por animal'!P29),'Datos por animal'!P29,"")</f>
        <v>0.35537190082644626</v>
      </c>
      <c r="C39" s="29">
        <f>IF(ISNUMBER('Datos por animal'!P47),'Datos por animal'!P47,"")</f>
        <v>0.28285714285714286</v>
      </c>
      <c r="D39" s="29">
        <f>IF(ISNUMBER('Datos por animal'!P67),'Datos por animal'!P67,"")</f>
        <v>0.33421052631578946</v>
      </c>
      <c r="E39" s="29">
        <f>IF(ISNUMBER('Datos por animal'!P87),'Datos por animal'!P87,"")</f>
        <v>0.4089219330855019</v>
      </c>
      <c r="F39" s="29">
        <f>IF(ISNUMBER('Datos por animal'!P107),'Datos por animal'!P107,"")</f>
        <v>0.41254125412541259</v>
      </c>
    </row>
    <row r="40" spans="1:6" x14ac:dyDescent="0.35">
      <c r="A40" s="29">
        <f>IF(ISNUMBER('Datos por animal'!P11),'Datos por animal'!P11,"")</f>
        <v>0.42765273311897106</v>
      </c>
      <c r="B40" s="29">
        <f>IF(ISNUMBER('Datos por animal'!P30),'Datos por animal'!P30,"")</f>
        <v>0.26889279437609842</v>
      </c>
      <c r="C40" s="29">
        <f>IF(ISNUMBER('Datos por animal'!P48),'Datos por animal'!P48,"")</f>
        <v>0.47411444141689374</v>
      </c>
      <c r="D40" s="29">
        <f>IF(ISNUMBER('Datos por animal'!P68),'Datos por animal'!P68,"")</f>
        <v>0.55064456721915289</v>
      </c>
      <c r="E40" s="29">
        <f>IF(ISNUMBER('Datos por animal'!P88),'Datos por animal'!P88,"")</f>
        <v>0.52368421052631575</v>
      </c>
      <c r="F40" s="29">
        <f>IF(ISNUMBER('Datos por animal'!P108),'Datos por animal'!P108,"")</f>
        <v>0.63505747126436796</v>
      </c>
    </row>
    <row r="41" spans="1:6" x14ac:dyDescent="0.35">
      <c r="A41" s="29">
        <f>IF(ISNUMBER('Datos por animal'!P12),'Datos por animal'!P12,"")</f>
        <v>0.51515151515151514</v>
      </c>
      <c r="B41" s="29">
        <f>IF(ISNUMBER('Datos por animal'!P31),'Datos por animal'!P31,"")</f>
        <v>0.40776699029126212</v>
      </c>
      <c r="C41" s="29">
        <f>IF(ISNUMBER('Datos por animal'!P49),'Datos por animal'!P49,"")</f>
        <v>0.45435684647302899</v>
      </c>
      <c r="D41" s="29">
        <f>IF(ISNUMBER('Datos por animal'!P69),'Datos por animal'!P69,"")</f>
        <v>0.29343629343629346</v>
      </c>
      <c r="E41" s="29">
        <f>IF(ISNUMBER('Datos por animal'!P89),'Datos por animal'!P89,"")</f>
        <v>0.23380281690140847</v>
      </c>
      <c r="F41" s="29">
        <f>IF(ISNUMBER('Datos por animal'!P109),'Datos por animal'!P109,"")</f>
        <v>0.44067796610169491</v>
      </c>
    </row>
    <row r="42" spans="1:6" x14ac:dyDescent="0.35">
      <c r="A42" s="29">
        <f>IF(ISNUMBER('Datos por animal'!P13),'Datos por animal'!P13,"")</f>
        <v>0.22325581395348837</v>
      </c>
      <c r="B42" s="29">
        <f>IF(ISNUMBER('Datos por animal'!P32),'Datos por animal'!P32,"")</f>
        <v>9.3023255813953487E-2</v>
      </c>
      <c r="C42" s="29">
        <f>IF(ISNUMBER('Datos por animal'!P50),'Datos por animal'!P50,"")</f>
        <v>0.29368029739776952</v>
      </c>
      <c r="D42" s="29">
        <f>IF(ISNUMBER('Datos por animal'!P70),'Datos por animal'!P70,"")</f>
        <v>0.30125523012552302</v>
      </c>
      <c r="E42" s="29">
        <f>IF(ISNUMBER('Datos por animal'!P90),'Datos por animal'!P90,"")</f>
        <v>0.37030411449016098</v>
      </c>
      <c r="F42" s="29">
        <f>IF(ISNUMBER('Datos por animal'!P110),'Datos por animal'!P110,"")</f>
        <v>0.14885496183206107</v>
      </c>
    </row>
    <row r="43" spans="1:6" x14ac:dyDescent="0.35">
      <c r="C43" s="29">
        <f>IF(ISNUMBER('Datos por animal'!P51),'Datos por animal'!P51,"")</f>
        <v>0.39189189189189189</v>
      </c>
      <c r="D43" s="29">
        <f>IF(ISNUMBER('Datos por animal'!P71),'Datos por animal'!P71,"")</f>
        <v>0.22651933701657453</v>
      </c>
      <c r="E43" s="29">
        <f>IF(ISNUMBER('Datos por animal'!P91),'Datos por animal'!P91,"")</f>
        <v>0.48081841432225064</v>
      </c>
      <c r="F43" s="29">
        <f>IF(ISNUMBER('Datos por animal'!P111),'Datos por animal'!P111,"")</f>
        <v>0.15639810426540282</v>
      </c>
    </row>
    <row r="46" spans="1:6" x14ac:dyDescent="0.35">
      <c r="A46" s="13" t="s">
        <v>211</v>
      </c>
    </row>
    <row r="47" spans="1:6" x14ac:dyDescent="0.35">
      <c r="A47" s="26" t="s">
        <v>15</v>
      </c>
      <c r="B47" s="27" t="s">
        <v>16</v>
      </c>
      <c r="C47" s="28" t="s">
        <v>17</v>
      </c>
      <c r="D47" s="26" t="s">
        <v>18</v>
      </c>
      <c r="E47" s="27" t="s">
        <v>19</v>
      </c>
      <c r="F47" s="28" t="s">
        <v>20</v>
      </c>
    </row>
    <row r="48" spans="1:6" x14ac:dyDescent="0.35">
      <c r="A48" s="29">
        <f>IF(ISNUMBER('Datos por animal'!P14),'Datos por animal'!P14,"")</f>
        <v>0.5</v>
      </c>
      <c r="B48" s="29">
        <f>IF(ISNUMBER('Datos por animal'!P33),'Datos por animal'!P33,"")</f>
        <v>0.44522471910112354</v>
      </c>
      <c r="C48" s="29">
        <f>IF(ISNUMBER('Datos por animal'!P52),'Datos por animal'!P52,"")</f>
        <v>0.40989399293286222</v>
      </c>
      <c r="D48" s="29">
        <f>IF(ISNUMBER('Datos por animal'!P72),'Datos por animal'!P72,"")</f>
        <v>0.24538258575197891</v>
      </c>
      <c r="E48" s="29">
        <f>IF(ISNUMBER('Datos por animal'!P92),'Datos por animal'!P92,"")</f>
        <v>0.22543352601156072</v>
      </c>
      <c r="F48" s="29">
        <f>IF(ISNUMBER('Datos por animal'!P112),'Datos por animal'!P112,"")</f>
        <v>0.3914590747330961</v>
      </c>
    </row>
    <row r="49" spans="1:6" x14ac:dyDescent="0.35">
      <c r="A49" s="29">
        <f>IF(ISNUMBER('Datos por animal'!P15),'Datos por animal'!P15,"")</f>
        <v>0.34246575342465752</v>
      </c>
      <c r="B49" s="29">
        <f>IF(ISNUMBER('Datos por animal'!P34),'Datos por animal'!P34,"")</f>
        <v>0.52900232018561488</v>
      </c>
      <c r="C49" s="29">
        <f>IF(ISNUMBER('Datos por animal'!P53),'Datos por animal'!P53,"")</f>
        <v>0.29681274900398408</v>
      </c>
      <c r="D49" s="29">
        <f>IF(ISNUMBER('Datos por animal'!P73),'Datos por animal'!P73,"")</f>
        <v>0.6936936936936936</v>
      </c>
      <c r="E49" s="29">
        <f>IF(ISNUMBER('Datos por animal'!P93),'Datos por animal'!P93,"")</f>
        <v>0.51291512915129145</v>
      </c>
      <c r="F49" s="29">
        <f>IF(ISNUMBER('Datos por animal'!P113),'Datos por animal'!P113,"")</f>
        <v>0.38636363636363635</v>
      </c>
    </row>
    <row r="50" spans="1:6" x14ac:dyDescent="0.35">
      <c r="A50" s="29">
        <f>IF(ISNUMBER('Datos por animal'!P16),'Datos por animal'!P16,"")</f>
        <v>0.21929824561403508</v>
      </c>
      <c r="B50" s="29">
        <f>IF(ISNUMBER('Datos por animal'!P35),'Datos por animal'!P35,"")</f>
        <v>0.44532488114104596</v>
      </c>
      <c r="C50" s="29">
        <f>IF(ISNUMBER('Datos por animal'!P54),'Datos por animal'!P54,"")</f>
        <v>0.37260273972602737</v>
      </c>
      <c r="D50" s="29">
        <f>IF(ISNUMBER('Datos por animal'!P74),'Datos por animal'!P74,"")</f>
        <v>0.52491694352159468</v>
      </c>
      <c r="E50" s="29">
        <f>IF(ISNUMBER('Datos por animal'!P94),'Datos por animal'!P94,"")</f>
        <v>0.42075471698113209</v>
      </c>
      <c r="F50" s="29">
        <f>IF(ISNUMBER('Datos por animal'!P114),'Datos por animal'!P114,"")</f>
        <v>0.39618856569709127</v>
      </c>
    </row>
    <row r="51" spans="1:6" x14ac:dyDescent="0.35">
      <c r="A51" s="29">
        <f>IF(ISNUMBER('Datos por animal'!P17),'Datos por animal'!P17,"")</f>
        <v>0.33427762039660064</v>
      </c>
      <c r="B51" s="29">
        <f>IF(ISNUMBER('Datos por animal'!P36),'Datos por animal'!P36,"")</f>
        <v>0.36195286195286192</v>
      </c>
      <c r="C51" s="29">
        <f>IF(ISNUMBER('Datos por animal'!P55),'Datos por animal'!P55,"")</f>
        <v>0.39642857142857141</v>
      </c>
      <c r="D51" s="29">
        <f>IF(ISNUMBER('Datos por animal'!P75),'Datos por animal'!P75,"")</f>
        <v>0.49230769230769228</v>
      </c>
      <c r="E51" s="29">
        <f>IF(ISNUMBER('Datos por animal'!P95),'Datos por animal'!P95,"")</f>
        <v>0.56321839080459779</v>
      </c>
      <c r="F51" s="29">
        <f>IF(ISNUMBER('Datos por animal'!P115),'Datos por animal'!P115,"")</f>
        <v>0.1871049304677623</v>
      </c>
    </row>
    <row r="52" spans="1:6" x14ac:dyDescent="0.35">
      <c r="A52" s="29">
        <f>IF(ISNUMBER('Datos por animal'!P18),'Datos por animal'!P18,"")</f>
        <v>0.23875432525951557</v>
      </c>
      <c r="B52" s="29">
        <f>IF(ISNUMBER('Datos por animal'!P37),'Datos por animal'!P37,"")</f>
        <v>0.26857142857142857</v>
      </c>
      <c r="C52" s="29">
        <f>IF(ISNUMBER('Datos por animal'!P56),'Datos por animal'!P56,"")</f>
        <v>0.72687224669603523</v>
      </c>
      <c r="D52" s="29">
        <f>IF(ISNUMBER('Datos por animal'!P76),'Datos por animal'!P76,"")</f>
        <v>0.47338935574229685</v>
      </c>
      <c r="E52" s="29">
        <f>IF(ISNUMBER('Datos por animal'!P96),'Datos por animal'!P96,"")</f>
        <v>0.47126436781609193</v>
      </c>
      <c r="F52" s="29">
        <f>IF(ISNUMBER('Datos por animal'!P116),'Datos por animal'!P116,"")</f>
        <v>0.24158415841584158</v>
      </c>
    </row>
    <row r="53" spans="1:6" x14ac:dyDescent="0.35">
      <c r="A53" s="29">
        <f>IF(ISNUMBER('Datos por animal'!P19),'Datos por animal'!P19,"")</f>
        <v>0.62880324543610555</v>
      </c>
      <c r="B53" s="29">
        <f>IF(ISNUMBER('Datos por animal'!P38),'Datos por animal'!P38,"")</f>
        <v>0.3172413793103448</v>
      </c>
      <c r="C53" s="29">
        <f>IF(ISNUMBER('Datos por animal'!P57),'Datos por animal'!P57,"")</f>
        <v>0.37804878048780494</v>
      </c>
      <c r="D53" s="29">
        <f>IF(ISNUMBER('Datos por animal'!P77),'Datos por animal'!P77,"")</f>
        <v>0.38547486033519557</v>
      </c>
      <c r="E53" s="29">
        <f>IF(ISNUMBER('Datos por animal'!P97),'Datos por animal'!P97,"")</f>
        <v>0.42686567164179107</v>
      </c>
      <c r="F53" s="29">
        <f>IF(ISNUMBER('Datos por animal'!P117),'Datos por animal'!P117,"")</f>
        <v>0.28716216216216217</v>
      </c>
    </row>
    <row r="54" spans="1:6" x14ac:dyDescent="0.35">
      <c r="A54" s="29">
        <f>IF(ISNUMBER('Datos por animal'!P20),'Datos por animal'!P20,"")</f>
        <v>0.35256410256410259</v>
      </c>
      <c r="B54" s="29">
        <f>IF(ISNUMBER('Datos por animal'!P39),'Datos por animal'!P39,"")</f>
        <v>0.15598290598290598</v>
      </c>
      <c r="C54" s="29">
        <f>IF(ISNUMBER('Datos por animal'!P58),'Datos por animal'!P58,"")</f>
        <v>0.41142857142857142</v>
      </c>
      <c r="D54" s="29">
        <f>IF(ISNUMBER('Datos por animal'!P78),'Datos por animal'!P78,"")</f>
        <v>0.42236024844720493</v>
      </c>
      <c r="E54" s="29">
        <f>IF(ISNUMBER('Datos por animal'!P98),'Datos por animal'!P98,"")</f>
        <v>0.4600638977635782</v>
      </c>
      <c r="F54" s="29">
        <f>IF(ISNUMBER('Datos por animal'!P118),'Datos por animal'!P118,"")</f>
        <v>0.42523364485981308</v>
      </c>
    </row>
    <row r="55" spans="1:6" x14ac:dyDescent="0.35">
      <c r="A55" s="29">
        <f>IF(ISNUMBER('Datos por animal'!P21),'Datos por animal'!P21,"")</f>
        <v>0.38846153846153847</v>
      </c>
      <c r="B55" s="29">
        <f>IF(ISNUMBER('Datos por animal'!P40),'Datos por animal'!P40,"")</f>
        <v>0.38657718120805368</v>
      </c>
      <c r="C55" s="29">
        <f>IF(ISNUMBER('Datos por animal'!P59),'Datos por animal'!P59,"")</f>
        <v>0.21583850931677018</v>
      </c>
      <c r="D55" s="29">
        <f>IF(ISNUMBER('Datos por animal'!P79),'Datos por animal'!P79,"")</f>
        <v>0.48325358851674644</v>
      </c>
      <c r="E55" s="29">
        <f>IF(ISNUMBER('Datos por animal'!P99),'Datos por animal'!P99,"")</f>
        <v>0.77362204724409445</v>
      </c>
      <c r="F55" s="29">
        <f>IF(ISNUMBER('Datos por animal'!P119),'Datos por animal'!P119,"")</f>
        <v>0.51012145748987858</v>
      </c>
    </row>
    <row r="56" spans="1:6" x14ac:dyDescent="0.35">
      <c r="A56" s="29">
        <f>IF(ISNUMBER('Datos por animal'!P22),'Datos por animal'!P22,"")</f>
        <v>0.13533834586466165</v>
      </c>
      <c r="B56" s="29">
        <f>IF(ISNUMBER('Datos por animal'!P41),'Datos por animal'!P41,"")</f>
        <v>0.27753934191702428</v>
      </c>
      <c r="C56" s="29">
        <f>IF(ISNUMBER('Datos por animal'!P60),'Datos por animal'!P60,"")</f>
        <v>0.36068702290076332</v>
      </c>
      <c r="D56" s="29">
        <f>IF(ISNUMBER('Datos por animal'!P80),'Datos por animal'!P80,"")</f>
        <v>0.42066420664206639</v>
      </c>
      <c r="E56" s="29">
        <f>IF(ISNUMBER('Datos por animal'!P100),'Datos por animal'!P100,"")</f>
        <v>0.49324324324324315</v>
      </c>
      <c r="F56" s="29">
        <f>IF(ISNUMBER('Datos por animal'!P120),'Datos por animal'!P120,"")</f>
        <v>0.58122743682310474</v>
      </c>
    </row>
    <row r="57" spans="1:6" x14ac:dyDescent="0.35">
      <c r="A57" s="29">
        <f>IF(ISNUMBER('Datos por animal'!P23),'Datos por animal'!P23,"")</f>
        <v>0.16101694915254239</v>
      </c>
      <c r="C57" s="29">
        <f>IF(ISNUMBER('Datos por animal'!P61),'Datos por animal'!P61,"")</f>
        <v>0.37860576923076922</v>
      </c>
      <c r="D57" s="29">
        <f>IF(ISNUMBER('Datos por animal'!P81),'Datos por animal'!P81,"")</f>
        <v>0.37119675456389456</v>
      </c>
      <c r="E57" s="29">
        <f>IF(ISNUMBER('Datos por animal'!P101),'Datos por animal'!P101,"")</f>
        <v>0.43230403800475053</v>
      </c>
      <c r="F57" s="29">
        <f>IF(ISNUMBER('Datos por animal'!P121),'Datos por animal'!P121,"")</f>
        <v>0.39393939393939398</v>
      </c>
    </row>
    <row r="60" spans="1:6" x14ac:dyDescent="0.35">
      <c r="A60" s="13" t="s">
        <v>212</v>
      </c>
    </row>
    <row r="61" spans="1:6" x14ac:dyDescent="0.35">
      <c r="A61" s="26" t="s">
        <v>15</v>
      </c>
      <c r="B61" s="27" t="s">
        <v>16</v>
      </c>
      <c r="C61" s="28" t="s">
        <v>17</v>
      </c>
      <c r="D61" s="26" t="s">
        <v>18</v>
      </c>
      <c r="E61" s="27" t="s">
        <v>19</v>
      </c>
      <c r="F61" s="28" t="s">
        <v>20</v>
      </c>
    </row>
    <row r="62" spans="1:6" x14ac:dyDescent="0.35">
      <c r="A62" s="22">
        <f>IF(ISNUMBER('Datos por animal'!Q5),'Datos por animal'!Q5,"")</f>
        <v>51.322000000000003</v>
      </c>
      <c r="B62" s="22">
        <f>IF(ISNUMBER('Datos por animal'!Q24),'Datos por animal'!Q24,"")</f>
        <v>42.985999999999997</v>
      </c>
      <c r="C62" s="22">
        <f>IF(ISNUMBER('Datos por animal'!Q42),'Datos por animal'!Q42,"")</f>
        <v>45.588999999999999</v>
      </c>
      <c r="D62" s="22" t="str">
        <f>IF(ISNUMBER('Datos por animal'!Q62),'Datos por animal'!Q62,"")</f>
        <v/>
      </c>
      <c r="E62" s="22">
        <f>IF(ISNUMBER('Datos por animal'!Q82),'Datos por animal'!Q82,"")</f>
        <v>29.873000000000001</v>
      </c>
      <c r="F62" s="22">
        <f>IF(ISNUMBER('Datos por animal'!Q102),'Datos por animal'!Q102,"")</f>
        <v>31.710999999999999</v>
      </c>
    </row>
    <row r="63" spans="1:6" x14ac:dyDescent="0.35">
      <c r="A63" s="22">
        <f>IF(ISNUMBER('Datos por animal'!Q6),'Datos por animal'!Q6,"")</f>
        <v>44.793999999999997</v>
      </c>
      <c r="B63" s="22">
        <f>IF(ISNUMBER('Datos por animal'!Q25),'Datos por animal'!Q25,"")</f>
        <v>32.164999999999999</v>
      </c>
      <c r="C63" s="22">
        <f>IF(ISNUMBER('Datos por animal'!Q43),'Datos por animal'!Q43,"")</f>
        <v>39.704000000000001</v>
      </c>
      <c r="D63" s="22">
        <f>IF(ISNUMBER('Datos por animal'!Q63),'Datos por animal'!Q63,"")</f>
        <v>28.981000000000002</v>
      </c>
      <c r="E63" s="22">
        <f>IF(ISNUMBER('Datos por animal'!Q83),'Datos por animal'!Q83,"")</f>
        <v>28.562000000000001</v>
      </c>
      <c r="F63" s="22">
        <f>IF(ISNUMBER('Datos por animal'!Q103),'Datos por animal'!Q103,"")</f>
        <v>33.579000000000001</v>
      </c>
    </row>
    <row r="64" spans="1:6" x14ac:dyDescent="0.35">
      <c r="A64" s="22">
        <f>IF(ISNUMBER('Datos por animal'!Q7),'Datos por animal'!Q7,"")</f>
        <v>23.542999999999999</v>
      </c>
      <c r="B64" s="22">
        <f>IF(ISNUMBER('Datos por animal'!Q26),'Datos por animal'!Q26,"")</f>
        <v>48.313000000000002</v>
      </c>
      <c r="C64" s="22">
        <f>IF(ISNUMBER('Datos por animal'!Q44),'Datos por animal'!Q44,"")</f>
        <v>49.822000000000003</v>
      </c>
      <c r="D64" s="22">
        <f>IF(ISNUMBER('Datos por animal'!Q64),'Datos por animal'!Q64,"")</f>
        <v>25.324999999999999</v>
      </c>
      <c r="E64" s="22">
        <f>IF(ISNUMBER('Datos por animal'!Q84),'Datos por animal'!Q84,"")</f>
        <v>33.011000000000003</v>
      </c>
      <c r="F64" s="22">
        <f>IF(ISNUMBER('Datos por animal'!Q104),'Datos por animal'!Q104,"")</f>
        <v>36.753</v>
      </c>
    </row>
    <row r="65" spans="1:6" x14ac:dyDescent="0.35">
      <c r="A65" s="22">
        <f>IF(ISNUMBER('Datos por animal'!Q8),'Datos por animal'!Q8,"")</f>
        <v>49.177999999999997</v>
      </c>
      <c r="B65" s="22">
        <f>IF(ISNUMBER('Datos por animal'!Q27),'Datos por animal'!Q27,"")</f>
        <v>39.033999999999999</v>
      </c>
      <c r="C65" s="22">
        <f>IF(ISNUMBER('Datos por animal'!Q45),'Datos por animal'!Q45,"")</f>
        <v>43.933999999999997</v>
      </c>
      <c r="D65" s="22">
        <f>IF(ISNUMBER('Datos por animal'!Q65),'Datos por animal'!Q65,"")</f>
        <v>28.245999999999999</v>
      </c>
      <c r="E65" s="22">
        <f>IF(ISNUMBER('Datos por animal'!Q85),'Datos por animal'!Q85,"")</f>
        <v>22.504999999999999</v>
      </c>
      <c r="F65" s="22">
        <f>IF(ISNUMBER('Datos por animal'!Q105),'Datos por animal'!Q105,"")</f>
        <v>36.759</v>
      </c>
    </row>
    <row r="66" spans="1:6" x14ac:dyDescent="0.35">
      <c r="A66" s="22" t="str">
        <f>IF(ISNUMBER('Datos por animal'!Q9),'Datos por animal'!Q9,"")</f>
        <v/>
      </c>
      <c r="B66" s="22">
        <f>IF(ISNUMBER('Datos por animal'!Q28),'Datos por animal'!Q28,"")</f>
        <v>58.421999999999997</v>
      </c>
      <c r="C66" s="22">
        <f>IF(ISNUMBER('Datos por animal'!Q46),'Datos por animal'!Q46,"")</f>
        <v>25.751999999999999</v>
      </c>
      <c r="D66" s="22">
        <f>IF(ISNUMBER('Datos por animal'!Q66),'Datos por animal'!Q66,"")</f>
        <v>27.795999999999999</v>
      </c>
      <c r="E66" s="22">
        <f>IF(ISNUMBER('Datos por animal'!Q86),'Datos por animal'!Q86,"")</f>
        <v>31.036999999999999</v>
      </c>
      <c r="F66" s="22">
        <f>IF(ISNUMBER('Datos por animal'!Q106),'Datos por animal'!Q106,"")</f>
        <v>32.148000000000003</v>
      </c>
    </row>
    <row r="67" spans="1:6" x14ac:dyDescent="0.35">
      <c r="A67" s="22" t="str">
        <f>IF(ISNUMBER('Datos por animal'!Q10),'Datos por animal'!Q10,"")</f>
        <v/>
      </c>
      <c r="B67" s="22">
        <f>IF(ISNUMBER('Datos por animal'!Q29),'Datos por animal'!Q29,"")</f>
        <v>47.865000000000002</v>
      </c>
      <c r="C67" s="22">
        <f>IF(ISNUMBER('Datos por animal'!Q47),'Datos por animal'!Q47,"")</f>
        <v>55.009</v>
      </c>
      <c r="D67" s="22">
        <f>IF(ISNUMBER('Datos por animal'!Q67),'Datos por animal'!Q67,"")</f>
        <v>34.189</v>
      </c>
      <c r="E67" s="22">
        <f>IF(ISNUMBER('Datos por animal'!Q87),'Datos por animal'!Q87,"")</f>
        <v>74.316000000000003</v>
      </c>
      <c r="F67" s="22">
        <f>IF(ISNUMBER('Datos por animal'!Q107),'Datos por animal'!Q107,"")</f>
        <v>47.311</v>
      </c>
    </row>
    <row r="68" spans="1:6" x14ac:dyDescent="0.35">
      <c r="A68" s="22" t="str">
        <f>IF(ISNUMBER('Datos por animal'!Q11),'Datos por animal'!Q11,"")</f>
        <v/>
      </c>
      <c r="B68" s="22">
        <f>IF(ISNUMBER('Datos por animal'!Q30),'Datos por animal'!Q30,"")</f>
        <v>63.972999999999999</v>
      </c>
      <c r="C68" s="22">
        <f>IF(ISNUMBER('Datos por animal'!Q48),'Datos por animal'!Q48,"")</f>
        <v>53.389000000000003</v>
      </c>
      <c r="D68" s="22">
        <f>IF(ISNUMBER('Datos por animal'!Q68),'Datos por animal'!Q68,"")</f>
        <v>33.276000000000003</v>
      </c>
      <c r="E68" s="22">
        <f>IF(ISNUMBER('Datos por animal'!Q88),'Datos por animal'!Q88,"")</f>
        <v>55.593000000000004</v>
      </c>
      <c r="F68" s="22">
        <f>IF(ISNUMBER('Datos por animal'!Q108),'Datos por animal'!Q108,"")</f>
        <v>58.613</v>
      </c>
    </row>
    <row r="69" spans="1:6" x14ac:dyDescent="0.35">
      <c r="A69" s="22">
        <f>IF(ISNUMBER('Datos por animal'!Q12),'Datos por animal'!Q12,"")</f>
        <v>30.934999999999999</v>
      </c>
      <c r="B69" s="22">
        <f>IF(ISNUMBER('Datos por animal'!Q31),'Datos por animal'!Q31,"")</f>
        <v>75.028999999999996</v>
      </c>
      <c r="C69" s="22">
        <f>IF(ISNUMBER('Datos por animal'!Q49),'Datos por animal'!Q49,"")</f>
        <v>39.914000000000001</v>
      </c>
      <c r="D69" s="22">
        <f>IF(ISNUMBER('Datos por animal'!Q69),'Datos por animal'!Q69,"")</f>
        <v>32.579000000000001</v>
      </c>
      <c r="E69" s="22">
        <f>IF(ISNUMBER('Datos por animal'!Q89),'Datos por animal'!Q89,"")</f>
        <v>75.885000000000005</v>
      </c>
      <c r="F69" s="22">
        <f>IF(ISNUMBER('Datos por animal'!Q109),'Datos por animal'!Q109,"")</f>
        <v>46.177999999999997</v>
      </c>
    </row>
    <row r="70" spans="1:6" x14ac:dyDescent="0.35">
      <c r="A70" s="22">
        <f>IF(ISNUMBER('Datos por animal'!Q13),'Datos por animal'!Q13,"")</f>
        <v>31.469000000000001</v>
      </c>
      <c r="B70" s="22">
        <f>IF(ISNUMBER('Datos por animal'!Q32),'Datos por animal'!Q32,"")</f>
        <v>60.576000000000001</v>
      </c>
      <c r="C70" s="22">
        <f>IF(ISNUMBER('Datos por animal'!Q50),'Datos por animal'!Q50,"")</f>
        <v>60.164000000000001</v>
      </c>
      <c r="D70" s="22">
        <f>IF(ISNUMBER('Datos por animal'!Q70),'Datos por animal'!Q70,"")</f>
        <v>29.239000000000001</v>
      </c>
      <c r="E70" s="22">
        <f>IF(ISNUMBER('Datos por animal'!Q90),'Datos por animal'!Q90,"")</f>
        <v>57.29</v>
      </c>
      <c r="F70" s="22">
        <f>IF(ISNUMBER('Datos por animal'!Q110),'Datos por animal'!Q110,"")</f>
        <v>42.607999999999997</v>
      </c>
    </row>
    <row r="71" spans="1:6" x14ac:dyDescent="0.35">
      <c r="C71" s="22">
        <f>IF(ISNUMBER('Datos por animal'!Q51),'Datos por animal'!Q51,"")</f>
        <v>53.881999999999998</v>
      </c>
      <c r="D71" s="22">
        <f>IF(ISNUMBER('Datos por animal'!Q71),'Datos por animal'!Q71,"")</f>
        <v>28.946999999999999</v>
      </c>
      <c r="E71" s="22">
        <f>IF(ISNUMBER('Datos por animal'!Q91),'Datos por animal'!Q91,"")</f>
        <v>49.634999999999998</v>
      </c>
      <c r="F71" s="22">
        <f>IF(ISNUMBER('Datos por animal'!Q111),'Datos por animal'!Q111,"")</f>
        <v>44.984999999999999</v>
      </c>
    </row>
    <row r="74" spans="1:6" x14ac:dyDescent="0.35">
      <c r="A74" s="13" t="s">
        <v>213</v>
      </c>
    </row>
    <row r="75" spans="1:6" x14ac:dyDescent="0.35">
      <c r="A75" s="26" t="s">
        <v>15</v>
      </c>
      <c r="B75" s="27" t="s">
        <v>16</v>
      </c>
      <c r="C75" s="28" t="s">
        <v>17</v>
      </c>
      <c r="D75" s="26" t="s">
        <v>18</v>
      </c>
      <c r="E75" s="27" t="s">
        <v>19</v>
      </c>
      <c r="F75" s="28" t="s">
        <v>20</v>
      </c>
    </row>
    <row r="76" spans="1:6" x14ac:dyDescent="0.35">
      <c r="A76" s="22">
        <f>IF(ISNUMBER('Datos por animal'!Q14),'Datos por animal'!Q14,"")</f>
        <v>30.475999999999999</v>
      </c>
      <c r="B76" s="22">
        <f>IF(ISNUMBER('Datos por animal'!Q33),'Datos por animal'!Q33,"")</f>
        <v>44.305999999999997</v>
      </c>
      <c r="C76" s="22">
        <f>IF(ISNUMBER('Datos por animal'!Q52),'Datos por animal'!Q52,"")</f>
        <v>31.207999999999998</v>
      </c>
      <c r="D76" s="22">
        <f>IF(ISNUMBER('Datos por animal'!Q72),'Datos por animal'!Q72,"")</f>
        <v>19.167999999999999</v>
      </c>
      <c r="E76" s="22">
        <f>IF(ISNUMBER('Datos por animal'!Q92),'Datos por animal'!Q92,"")</f>
        <v>40.628</v>
      </c>
      <c r="F76" s="22">
        <f>IF(ISNUMBER('Datos por animal'!Q112),'Datos por animal'!Q112,"")</f>
        <v>45.238</v>
      </c>
    </row>
    <row r="77" spans="1:6" x14ac:dyDescent="0.35">
      <c r="A77" s="22">
        <f>IF(ISNUMBER('Datos por animal'!Q15),'Datos por animal'!Q15,"")</f>
        <v>32.771999999999998</v>
      </c>
      <c r="B77" s="22">
        <f>IF(ISNUMBER('Datos por animal'!Q34),'Datos por animal'!Q34,"")</f>
        <v>50.594999999999999</v>
      </c>
      <c r="C77" s="22">
        <f>IF(ISNUMBER('Datos por animal'!Q53),'Datos por animal'!Q53,"")</f>
        <v>37.981000000000002</v>
      </c>
      <c r="D77" s="22">
        <f>IF(ISNUMBER('Datos por animal'!Q73),'Datos por animal'!Q73,"")</f>
        <v>25.859000000000002</v>
      </c>
      <c r="E77" s="22">
        <f>IF(ISNUMBER('Datos por animal'!Q93),'Datos por animal'!Q93,"")</f>
        <v>32.917999999999999</v>
      </c>
      <c r="F77" s="22">
        <f>IF(ISNUMBER('Datos por animal'!Q113),'Datos por animal'!Q113,"")</f>
        <v>38.238999999999997</v>
      </c>
    </row>
    <row r="78" spans="1:6" x14ac:dyDescent="0.35">
      <c r="A78" s="22">
        <f>IF(ISNUMBER('Datos por animal'!Q16),'Datos por animal'!Q16,"")</f>
        <v>39.011000000000003</v>
      </c>
      <c r="B78" s="22">
        <f>IF(ISNUMBER('Datos por animal'!Q35),'Datos por animal'!Q35,"")</f>
        <v>36.915999999999997</v>
      </c>
      <c r="C78" s="22">
        <f>IF(ISNUMBER('Datos por animal'!Q54),'Datos por animal'!Q54,"")</f>
        <v>50.570999999999998</v>
      </c>
      <c r="D78" s="22">
        <f>IF(ISNUMBER('Datos por animal'!Q74),'Datos por animal'!Q74,"")</f>
        <v>19.943999999999999</v>
      </c>
      <c r="E78" s="22">
        <f>IF(ISNUMBER('Datos por animal'!Q94),'Datos por animal'!Q94,"")</f>
        <v>38.706000000000003</v>
      </c>
      <c r="F78" s="22">
        <f>IF(ISNUMBER('Datos por animal'!Q114),'Datos por animal'!Q114,"")</f>
        <v>44.761000000000003</v>
      </c>
    </row>
    <row r="79" spans="1:6" x14ac:dyDescent="0.35">
      <c r="A79" s="22">
        <f>IF(ISNUMBER('Datos por animal'!Q17),'Datos por animal'!Q17,"")</f>
        <v>35.066000000000003</v>
      </c>
      <c r="B79" s="22">
        <f>IF(ISNUMBER('Datos por animal'!Q36),'Datos por animal'!Q36,"")</f>
        <v>42.927999999999997</v>
      </c>
      <c r="C79" s="22">
        <f>IF(ISNUMBER('Datos por animal'!Q55),'Datos por animal'!Q55,"")</f>
        <v>46.558999999999997</v>
      </c>
      <c r="D79" s="22">
        <f>IF(ISNUMBER('Datos por animal'!Q75),'Datos por animal'!Q75,"")</f>
        <v>20.044</v>
      </c>
      <c r="E79" s="22">
        <f>IF(ISNUMBER('Datos por animal'!Q95),'Datos por animal'!Q95,"")</f>
        <v>22.452999999999999</v>
      </c>
      <c r="F79" s="22">
        <f>IF(ISNUMBER('Datos por animal'!Q115),'Datos por animal'!Q115,"")</f>
        <v>29.632999999999999</v>
      </c>
    </row>
    <row r="80" spans="1:6" x14ac:dyDescent="0.35">
      <c r="A80" s="22">
        <f>IF(ISNUMBER('Datos por animal'!Q18),'Datos por animal'!Q18,"")</f>
        <v>40.749000000000002</v>
      </c>
      <c r="B80" s="22">
        <f>IF(ISNUMBER('Datos por animal'!Q37),'Datos por animal'!Q37,"")</f>
        <v>48.844000000000001</v>
      </c>
      <c r="C80" s="22">
        <f>IF(ISNUMBER('Datos por animal'!Q56),'Datos por animal'!Q56,"")</f>
        <v>40.524999999999999</v>
      </c>
      <c r="D80" s="22">
        <f>IF(ISNUMBER('Datos por animal'!Q76),'Datos por animal'!Q76,"")</f>
        <v>17.818999999999999</v>
      </c>
      <c r="E80" s="22">
        <f>IF(ISNUMBER('Datos por animal'!Q96),'Datos por animal'!Q96,"")</f>
        <v>21.173999999999999</v>
      </c>
      <c r="F80" s="22">
        <f>IF(ISNUMBER('Datos por animal'!Q116),'Datos por animal'!Q116,"")</f>
        <v>47.033000000000001</v>
      </c>
    </row>
    <row r="81" spans="1:6" x14ac:dyDescent="0.35">
      <c r="A81" s="22" t="str">
        <f>IF(ISNUMBER('Datos por animal'!Q19),'Datos por animal'!Q19,"")</f>
        <v/>
      </c>
      <c r="B81" s="22">
        <f>IF(ISNUMBER('Datos por animal'!Q38),'Datos por animal'!Q38,"")</f>
        <v>72.034000000000006</v>
      </c>
      <c r="C81" s="22">
        <f>IF(ISNUMBER('Datos por animal'!Q57),'Datos por animal'!Q57,"")</f>
        <v>66.286000000000001</v>
      </c>
      <c r="D81" s="22">
        <f>IF(ISNUMBER('Datos por animal'!Q77),'Datos por animal'!Q77,"")</f>
        <v>30.626000000000001</v>
      </c>
      <c r="E81" s="22">
        <f>IF(ISNUMBER('Datos por animal'!Q97),'Datos por animal'!Q97,"")</f>
        <v>67.323999999999998</v>
      </c>
      <c r="F81" s="22">
        <f>IF(ISNUMBER('Datos por animal'!Q117),'Datos por animal'!Q117,"")</f>
        <v>43.962000000000003</v>
      </c>
    </row>
    <row r="82" spans="1:6" x14ac:dyDescent="0.35">
      <c r="A82" s="22" t="str">
        <f>IF(ISNUMBER('Datos por animal'!Q20),'Datos por animal'!Q20,"")</f>
        <v/>
      </c>
      <c r="B82" s="22">
        <f>IF(ISNUMBER('Datos por animal'!Q39),'Datos por animal'!Q39,"")</f>
        <v>59.41</v>
      </c>
      <c r="C82" s="22">
        <f>IF(ISNUMBER('Datos por animal'!Q58),'Datos por animal'!Q58,"")</f>
        <v>77.772999999999996</v>
      </c>
      <c r="D82" s="22">
        <f>IF(ISNUMBER('Datos por animal'!Q78),'Datos por animal'!Q78,"")</f>
        <v>31.042000000000002</v>
      </c>
      <c r="E82" s="22">
        <f>IF(ISNUMBER('Datos por animal'!Q98),'Datos por animal'!Q98,"")</f>
        <v>58.908000000000001</v>
      </c>
      <c r="F82" s="22">
        <f>IF(ISNUMBER('Datos por animal'!Q118),'Datos por animal'!Q118,"")</f>
        <v>58.746000000000002</v>
      </c>
    </row>
    <row r="83" spans="1:6" x14ac:dyDescent="0.35">
      <c r="A83" s="22">
        <f>IF(ISNUMBER('Datos por animal'!Q21),'Datos por animal'!Q21,"")</f>
        <v>43.819000000000003</v>
      </c>
      <c r="B83" s="22">
        <f>IF(ISNUMBER('Datos por animal'!Q40),'Datos por animal'!Q40,"")</f>
        <v>56.348999999999997</v>
      </c>
      <c r="C83" s="22">
        <f>IF(ISNUMBER('Datos por animal'!Q59),'Datos por animal'!Q59,"")</f>
        <v>51.384</v>
      </c>
      <c r="D83" s="22">
        <f>IF(ISNUMBER('Datos por animal'!Q79),'Datos por animal'!Q79,"")</f>
        <v>32.191000000000003</v>
      </c>
      <c r="E83" s="22">
        <f>IF(ISNUMBER('Datos por animal'!Q99),'Datos por animal'!Q99,"")</f>
        <v>64.721000000000004</v>
      </c>
      <c r="F83" s="22">
        <f>IF(ISNUMBER('Datos por animal'!Q119),'Datos por animal'!Q119,"")</f>
        <v>54.036000000000001</v>
      </c>
    </row>
    <row r="84" spans="1:6" x14ac:dyDescent="0.35">
      <c r="A84" s="22">
        <f>IF(ISNUMBER('Datos por animal'!Q22),'Datos por animal'!Q22,"")</f>
        <v>29.204000000000001</v>
      </c>
      <c r="B84" s="22">
        <f>IF(ISNUMBER('Datos por animal'!Q41),'Datos por animal'!Q41,"")</f>
        <v>70.731999999999999</v>
      </c>
      <c r="C84" s="22">
        <f>IF(ISNUMBER('Datos por animal'!Q60),'Datos por animal'!Q60,"")</f>
        <v>44.295000000000002</v>
      </c>
      <c r="D84" s="22">
        <f>IF(ISNUMBER('Datos por animal'!Q80),'Datos por animal'!Q80,"")</f>
        <v>31.65</v>
      </c>
      <c r="E84" s="22">
        <f>IF(ISNUMBER('Datos por animal'!Q100),'Datos por animal'!Q100,"")</f>
        <v>51.122</v>
      </c>
      <c r="F84" s="22">
        <f>IF(ISNUMBER('Datos por animal'!Q120),'Datos por animal'!Q120,"")</f>
        <v>45.313000000000002</v>
      </c>
    </row>
    <row r="85" spans="1:6" x14ac:dyDescent="0.35">
      <c r="A85" s="22">
        <f>IF(ISNUMBER('Datos por animal'!Q23),'Datos por animal'!Q23,"")</f>
        <v>30.748999999999999</v>
      </c>
      <c r="C85" s="22">
        <f>IF(ISNUMBER('Datos por animal'!Q61),'Datos por animal'!Q61,"")</f>
        <v>50.722000000000001</v>
      </c>
      <c r="D85" s="22">
        <f>IF(ISNUMBER('Datos por animal'!Q81),'Datos por animal'!Q81,"")</f>
        <v>33.76</v>
      </c>
      <c r="E85" s="22">
        <f>IF(ISNUMBER('Datos por animal'!Q101),'Datos por animal'!Q101,"")</f>
        <v>49.802</v>
      </c>
      <c r="F85" s="22">
        <f>IF(ISNUMBER('Datos por animal'!Q121),'Datos por animal'!Q121,"")</f>
        <v>37.613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D1</vt:lpstr>
      <vt:lpstr>Datos por animal</vt:lpstr>
      <vt:lpstr>Prism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THIAGO SAYEGH</cp:lastModifiedBy>
  <cp:revision>0</cp:revision>
  <dcterms:created xsi:type="dcterms:W3CDTF">2026-10-16T19:45:07Z</dcterms:created>
  <dcterms:modified xsi:type="dcterms:W3CDTF">2026-10-16T19:53:29Z</dcterms:modified>
  <dc:language>en-US</dc:language>
</cp:coreProperties>
</file>
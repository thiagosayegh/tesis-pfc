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4" activeTab="5" autoFilterDateGrouping="1"/>
  </bookViews>
  <sheets>
    <sheet name="INSTRUCCIONES" sheetId="1" state="hidden" r:id="rId1"/>
    <sheet name=" D-SLR" sheetId="2" state="visible" r:id="rId2"/>
    <sheet name="D SLR ANOVA TASA EXP" sheetId="3" state="visible" r:id="rId3"/>
    <sheet name="MULTIPLE D SLR TASA EXP" sheetId="4" state="visible" r:id="rId4"/>
    <sheet name="S SLR" sheetId="5" state="visible" r:id="rId5"/>
    <sheet name="ORIGEN" sheetId="6" state="visible" r:id="rId6"/>
    <sheet name="anova" sheetId="7" state="visible" r:id="rId7"/>
    <sheet name="s slr multiple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charset val="1"/>
      <family val="2"/>
      <color theme="1"/>
      <sz val="11"/>
    </font>
    <font>
      <name val="Arial"/>
      <sz val="10"/>
    </font>
    <font>
      <name val="Arial"/>
      <charset val="1"/>
      <b val="1"/>
      <sz val="12"/>
    </font>
    <font>
      <name val="Arial"/>
      <charset val="1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164" fontId="3" fillId="0" borderId="1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center"/>
    </xf>
    <xf numFmtId="164" fontId="0" fillId="0" borderId="2" pivotButton="0" quotePrefix="0" xfId="0"/>
    <xf numFmtId="0" fontId="4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Claude</author>
  </authors>
  <commentList>
    <comment ref="H1" authorId="0" shapeId="0">
      <text>
        <t>Fórmula: valor de la tabla ' D-SLR' o 'S SLR' (B6:AE7) según edad, tratamiento y subcolumna.</t>
      </text>
    </comment>
    <comment ref="I1" authorId="0" shapeId="0">
      <text>
        <t>DI = 2·tasa − 1 (tasa = tN/(tN + tF)).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0</colOff>
      <row>16</row>
      <rowOff>0</rowOff>
    </from>
    <to>
      <col>11</col>
      <colOff>101840</colOff>
      <row>40</row>
      <rowOff>95482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10000" y="2959100"/>
          <a:ext cx="4673840" cy="451508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6</row>
      <rowOff>0</rowOff>
    </from>
    <to>
      <col>17</col>
      <colOff>533702</colOff>
      <row>31</row>
      <rowOff>12937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1104900"/>
          <a:ext cx="5867702" cy="461668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zoomScaleNormal="100" workbookViewId="0">
      <selection activeCell="A1" sqref="A1"/>
    </sheetView>
  </sheetViews>
  <sheetFormatPr baseColWidth="10" defaultColWidth="8.6328125" defaultRowHeight="14.5"/>
  <cols>
    <col width="140" customWidth="1" min="1" max="1"/>
  </cols>
  <sheetData>
    <row r="1" ht="15.5" customHeight="1">
      <c r="A1" s="1" t="inlineStr">
        <is>
          <t>CARGA EN GRAPHPAD PRISM – SLR (DI y tasa de exploración)</t>
        </is>
      </c>
    </row>
    <row r="2">
      <c r="A2" s="2" t="n"/>
    </row>
    <row r="3">
      <c r="A3" s="2" t="inlineStr">
        <is>
          <t>1. New Table &amp; Graph → Grouped → 'Enter 10 replicate values in side-by-side subcolumns'.</t>
        </is>
      </c>
    </row>
    <row r="4">
      <c r="A4" s="2" t="inlineStr">
        <is>
          <t>2. Grupos de columnas: Control, Sacarosa, Stevia. Filas: Juvenil, Adulto.</t>
        </is>
      </c>
    </row>
    <row r="5">
      <c r="A5" s="2" t="inlineStr">
        <is>
          <t>3. Copiar el bloque B6:AE7 de la hoja correspondiente y pegarlo en Prism. Celdas vacías = n&lt;10.</t>
        </is>
      </c>
    </row>
    <row r="6">
      <c r="A6" s="2" t="inlineStr">
        <is>
          <t>4. Analyze → Two-way ANOVA. Factores: filas = Edad, columnas = Tratamiento. Multiple comparisons: Tukey.</t>
        </is>
      </c>
    </row>
    <row r="7">
      <c r="A7" s="2" t="inlineStr">
        <is>
          <t>5. Una hoja por análisis: DI d-SLR, DI s-SLR, Tasa d-SLR, Tasa s-SLR (la configuración NO se mezcla).</t>
        </is>
      </c>
    </row>
    <row r="8">
      <c r="A8" s="2" t="inlineStr">
        <is>
          <t>6. Complemento: t de una muestra contra 0 (DI) / 0,5 (tasa) por celda, para saber si cada grupo discrimina.</t>
        </is>
      </c>
    </row>
    <row r="9">
      <c r="A9" s="2" t="n"/>
    </row>
    <row r="10">
      <c r="A10" s="3" t="inlineStr">
        <is>
          <t>CORRECCIÓN APLICADA</t>
        </is>
      </c>
    </row>
    <row r="11" ht="25" customHeight="1">
      <c r="A11" s="2" t="inlineStr">
        <is>
          <t>• Test adulto de mayo (250509): se corrigió la asignación novedoso/familiar, que estaba invertida en la carga original (Zona 1 era familiar, no novedoso). Todos los DI de esa hoja cambiaron de signo. Afecta al control y a la sacarosa adultos de mayo; no toca ninguna otra cohorte.</t>
        </is>
      </c>
    </row>
    <row r="12">
      <c r="A12" s="2" t="n"/>
    </row>
    <row r="13">
      <c r="A13" s="3" t="inlineStr">
        <is>
          <t>ADVERTENCIAS</t>
        </is>
      </c>
    </row>
    <row r="14">
      <c r="A14" s="2" t="inlineStr">
        <is>
          <t>• DI y tasa son el mismo dato reescalado (DI = 2·tasa − 1): los p del ANOVA serán idénticos. Se reporta una vez.</t>
        </is>
      </c>
    </row>
    <row r="15" ht="25" customHeight="1">
      <c r="A15" s="2" t="inlineStr">
        <is>
          <t>• Controles de octubre (juv) y diciembre (adu) hicieron ambas configuraciones (diseño cruzado): cada uno aparece una vez en d-SLR y una vez en s-SLR; dentro de cada ANOVA no hay repetidos.</t>
        </is>
      </c>
    </row>
    <row r="16">
      <c r="A16" s="2" t="inlineStr">
        <is>
          <t>• No hay control 2026: control adulto = 2025 (mayo+diciembre), control juvenil = 2025 (junio+octubre). Declarar como limitación.</t>
        </is>
      </c>
    </row>
    <row r="17">
      <c r="A17" s="2" t="inlineStr">
        <is>
          <t>• Falta confirmar identidad de animales 1-10 del test adulto 2026 con ranas (asumido 1-5 sac, 6-10 stevia).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zoomScaleNormal="100" workbookViewId="0">
      <selection activeCell="N17" sqref="N17"/>
    </sheetView>
  </sheetViews>
  <sheetFormatPr baseColWidth="10" defaultColWidth="8.6328125" defaultRowHeight="14.5"/>
  <cols>
    <col width="10" customWidth="1" min="1" max="1"/>
    <col width="7.453125" customWidth="1" min="2" max="8"/>
    <col width="9.6328125" customWidth="1" min="9" max="9"/>
    <col width="7.453125" customWidth="1" min="10" max="31"/>
  </cols>
  <sheetData>
    <row r="1" ht="15.5" customHeight="1">
      <c r="A1" s="4" t="inlineStr">
        <is>
          <t>tasa – D-SLR (EQUILTERO)</t>
        </is>
      </c>
    </row>
    <row r="2">
      <c r="A2" s="5" t="inlineStr">
        <is>
          <t>Azar = 0,5. Filas = Edad; grupos de columnas = Tratamiento; subcolumnas = animales.</t>
        </is>
      </c>
    </row>
    <row r="4">
      <c r="B4" s="14" t="inlineStr">
        <is>
          <t>Control</t>
        </is>
      </c>
      <c r="L4" s="14" t="inlineStr">
        <is>
          <t>Sacarosa</t>
        </is>
      </c>
      <c r="V4" s="14" t="inlineStr">
        <is>
          <t>Stevia</t>
        </is>
      </c>
    </row>
    <row r="5">
      <c r="B5" s="6" t="n">
        <v>1</v>
      </c>
      <c r="C5" s="6" t="n">
        <v>2</v>
      </c>
      <c r="D5" s="6" t="n">
        <v>3</v>
      </c>
      <c r="E5" s="6" t="n">
        <v>4</v>
      </c>
      <c r="F5" s="6" t="n">
        <v>5</v>
      </c>
      <c r="G5" s="6" t="n">
        <v>6</v>
      </c>
      <c r="H5" s="6" t="n">
        <v>7</v>
      </c>
      <c r="I5" s="6" t="n">
        <v>8</v>
      </c>
      <c r="J5" s="6" t="n">
        <v>9</v>
      </c>
      <c r="K5" s="6" t="n">
        <v>10</v>
      </c>
      <c r="L5" s="6" t="n">
        <v>1</v>
      </c>
      <c r="M5" s="6" t="n">
        <v>2</v>
      </c>
      <c r="N5" s="6" t="n">
        <v>3</v>
      </c>
      <c r="O5" s="6" t="n">
        <v>4</v>
      </c>
      <c r="P5" s="6" t="n">
        <v>5</v>
      </c>
      <c r="Q5" s="6" t="n">
        <v>6</v>
      </c>
      <c r="R5" s="6" t="n">
        <v>7</v>
      </c>
      <c r="S5" s="6" t="n">
        <v>8</v>
      </c>
      <c r="T5" s="6" t="n">
        <v>9</v>
      </c>
      <c r="U5" s="6" t="n">
        <v>10</v>
      </c>
      <c r="V5" s="6" t="n">
        <v>1</v>
      </c>
      <c r="W5" s="6" t="n">
        <v>2</v>
      </c>
      <c r="X5" s="6" t="n">
        <v>3</v>
      </c>
      <c r="Y5" s="6" t="n">
        <v>4</v>
      </c>
      <c r="Z5" s="6" t="n">
        <v>5</v>
      </c>
      <c r="AA5" s="6" t="n">
        <v>6</v>
      </c>
      <c r="AB5" s="6" t="n">
        <v>7</v>
      </c>
      <c r="AC5" s="6" t="n">
        <v>8</v>
      </c>
      <c r="AD5" s="6" t="n">
        <v>9</v>
      </c>
      <c r="AE5" s="6" t="n">
        <v>10</v>
      </c>
    </row>
    <row r="6">
      <c r="A6" s="7" t="inlineStr">
        <is>
          <t>Juvenil</t>
        </is>
      </c>
      <c r="B6" s="8" t="n">
        <v>0.702</v>
      </c>
      <c r="C6" s="8" t="n">
        <v>0.553</v>
      </c>
      <c r="D6" s="8" t="n">
        <v>0.527</v>
      </c>
      <c r="E6" s="8" t="n">
        <v>0.572</v>
      </c>
      <c r="F6" s="8" t="n">
        <v>0.623</v>
      </c>
      <c r="G6" s="8" t="n">
        <v>0.766</v>
      </c>
      <c r="H6" s="8" t="n">
        <v>0.584</v>
      </c>
      <c r="I6" s="8" t="n">
        <v>0.612</v>
      </c>
      <c r="J6" s="8" t="n">
        <v>0.65</v>
      </c>
      <c r="K6" s="8" t="n"/>
      <c r="L6" s="8" t="n">
        <v>0.423</v>
      </c>
      <c r="M6" s="8" t="n">
        <v>0.5570000000000001</v>
      </c>
      <c r="N6" s="8" t="n">
        <v>0.375</v>
      </c>
      <c r="O6" s="8" t="n">
        <v>0.542</v>
      </c>
      <c r="P6" s="8" t="n">
        <v>0.347</v>
      </c>
      <c r="Q6" s="8" t="n">
        <v>0.456</v>
      </c>
      <c r="R6" s="8" t="n">
        <v>0.519</v>
      </c>
      <c r="S6" s="8" t="n">
        <v>0.472</v>
      </c>
      <c r="T6" s="8" t="n">
        <v>0.441</v>
      </c>
      <c r="U6" s="8" t="n"/>
      <c r="V6" s="8" t="n">
        <v>0.531</v>
      </c>
      <c r="W6" s="8" t="n">
        <v>0.529</v>
      </c>
      <c r="X6" s="8" t="n">
        <v>0.427</v>
      </c>
      <c r="Y6" s="8" t="n">
        <v>0.632</v>
      </c>
      <c r="Z6" s="8" t="n">
        <v>0.472</v>
      </c>
      <c r="AA6" s="8" t="n">
        <v>0.731</v>
      </c>
      <c r="AB6" s="8" t="n">
        <v>0.5590000000000001</v>
      </c>
      <c r="AC6" s="8" t="n">
        <v>0.828</v>
      </c>
      <c r="AD6" s="8" t="n">
        <v>0.843</v>
      </c>
      <c r="AE6" s="8" t="n">
        <v>0.401</v>
      </c>
    </row>
    <row r="7">
      <c r="A7" s="7" t="inlineStr">
        <is>
          <t>Adulto</t>
        </is>
      </c>
      <c r="B7" s="8" t="n">
        <v>0.6820000000000001</v>
      </c>
      <c r="C7" s="8" t="n">
        <v>0.506</v>
      </c>
      <c r="D7" s="8" t="n">
        <v>0.746</v>
      </c>
      <c r="E7" s="8" t="n">
        <v>0.485</v>
      </c>
      <c r="F7" s="8" t="n">
        <v>0.578</v>
      </c>
      <c r="G7" s="8" t="n">
        <v>0.642</v>
      </c>
      <c r="H7" s="8" t="n">
        <v>0.538</v>
      </c>
      <c r="I7" s="8" t="n">
        <v>0.578</v>
      </c>
      <c r="J7" s="8" t="n">
        <v>0.638</v>
      </c>
      <c r="K7" s="8" t="n">
        <v>0.696</v>
      </c>
      <c r="L7" s="8" t="n">
        <v>0.5580000000000001</v>
      </c>
      <c r="M7" s="8" t="n">
        <v>0.5659999999999999</v>
      </c>
      <c r="N7" s="8" t="n">
        <v>0.437</v>
      </c>
      <c r="O7" s="8" t="n">
        <v>0.511</v>
      </c>
      <c r="P7" s="8" t="n">
        <v>0.575</v>
      </c>
      <c r="Q7" s="8" t="n">
        <v>0.58</v>
      </c>
      <c r="R7" s="8" t="n">
        <v>0.341</v>
      </c>
      <c r="S7" s="8" t="n">
        <v>0.667</v>
      </c>
      <c r="T7" s="8" t="n">
        <v>0.77</v>
      </c>
      <c r="U7" s="8" t="n">
        <v>0.54</v>
      </c>
      <c r="V7" s="8" t="n">
        <v>0.498</v>
      </c>
      <c r="W7" s="8" t="n">
        <v>0.6929999999999999</v>
      </c>
      <c r="X7" s="8" t="n">
        <v>0.5629999999999999</v>
      </c>
      <c r="Y7" s="8" t="n">
        <v>0.577</v>
      </c>
      <c r="Z7" s="8" t="n">
        <v>0.502</v>
      </c>
      <c r="AA7" s="8" t="n">
        <v>0.336</v>
      </c>
      <c r="AB7" s="8" t="n">
        <v>0.766</v>
      </c>
      <c r="AC7" s="8" t="n">
        <v>0.634</v>
      </c>
      <c r="AD7" s="8" t="n">
        <v>0.432</v>
      </c>
      <c r="AE7" s="8" t="n">
        <v>0.529</v>
      </c>
    </row>
    <row r="9">
      <c r="A9" s="5" t="inlineStr">
        <is>
          <t>Bloque a copiar en Prism: B6:AE7 (solo valores).</t>
        </is>
      </c>
      <c r="G9" s="11" t="n"/>
      <c r="H9" s="11" t="inlineStr">
        <is>
          <t>ctrol</t>
        </is>
      </c>
      <c r="I9" s="11" t="inlineStr">
        <is>
          <t>sacarosa</t>
        </is>
      </c>
      <c r="J9" s="11" t="inlineStr">
        <is>
          <t>stevia</t>
        </is>
      </c>
    </row>
    <row r="10">
      <c r="G10" s="11" t="inlineStr">
        <is>
          <t>juv</t>
        </is>
      </c>
      <c r="H10" s="11">
        <f>(B6+C6+D6+E6+F6+G6+H6+I6+J6)/9</f>
        <v/>
      </c>
      <c r="I10" s="11">
        <f>AVERAGE(L6:T6)</f>
        <v/>
      </c>
      <c r="J10" s="11">
        <f>AVERAGE(V6:AE6)</f>
        <v/>
      </c>
    </row>
    <row r="11">
      <c r="G11" s="11" t="inlineStr">
        <is>
          <t>adulto</t>
        </is>
      </c>
      <c r="H11" s="11">
        <f>AVERAGE(B7:K7)</f>
        <v/>
      </c>
      <c r="I11" s="11">
        <f>AVERAGE(L7:U7)</f>
        <v/>
      </c>
      <c r="J11" s="11">
        <f>AVERAGE(V7:AE7)</f>
        <v/>
      </c>
    </row>
  </sheetData>
  <mergeCells count="3">
    <mergeCell ref="B4:K4"/>
    <mergeCell ref="L4:U4"/>
    <mergeCell ref="V4:AE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:F29"/>
    </sheetView>
  </sheetViews>
  <sheetFormatPr baseColWidth="10" defaultRowHeight="14.5"/>
  <cols>
    <col width="28.81640625" customWidth="1" min="1" max="1"/>
  </cols>
  <sheetData>
    <row r="1">
      <c r="A1" s="12" t="n"/>
      <c r="B1" s="12" t="n"/>
      <c r="C1" s="12" t="n"/>
      <c r="D1" s="12" t="n"/>
      <c r="E1" s="12" t="n"/>
      <c r="F1" s="12" t="n"/>
    </row>
    <row r="2">
      <c r="A2" s="9" t="inlineStr">
        <is>
          <t>Table Analyzed</t>
        </is>
      </c>
      <c r="B2" s="8" t="inlineStr">
        <is>
          <t>D SLR TASA EXPLORACION</t>
        </is>
      </c>
      <c r="C2" s="8" t="n"/>
      <c r="D2" s="8" t="n"/>
      <c r="E2" s="8" t="n"/>
      <c r="F2" s="8" t="n"/>
    </row>
    <row r="3">
      <c r="A3" s="9" t="n"/>
      <c r="B3" s="8" t="n"/>
      <c r="C3" s="8" t="n"/>
      <c r="D3" s="8" t="n"/>
      <c r="E3" s="8" t="n"/>
      <c r="F3" s="8" t="n"/>
    </row>
    <row r="4">
      <c r="A4" s="9" t="inlineStr">
        <is>
          <t>Two-way ANOVA</t>
        </is>
      </c>
      <c r="B4" s="8" t="inlineStr">
        <is>
          <t>Ordinary</t>
        </is>
      </c>
      <c r="C4" s="8" t="n"/>
      <c r="D4" s="8" t="n"/>
      <c r="E4" s="8" t="n"/>
      <c r="F4" s="8" t="n"/>
    </row>
    <row r="5">
      <c r="A5" s="9" t="inlineStr">
        <is>
          <t xml:space="preserve">    Alpha</t>
        </is>
      </c>
      <c r="B5" s="8" t="n">
        <v>0.05</v>
      </c>
      <c r="C5" s="8" t="n"/>
      <c r="D5" s="8" t="n"/>
      <c r="E5" s="8" t="n"/>
      <c r="F5" s="8" t="n"/>
    </row>
    <row r="6">
      <c r="A6" s="9" t="n"/>
      <c r="B6" s="8" t="n"/>
      <c r="C6" s="8" t="n"/>
      <c r="D6" s="8" t="n"/>
      <c r="E6" s="8" t="n"/>
      <c r="F6" s="8" t="n"/>
    </row>
    <row r="7">
      <c r="A7" s="9" t="inlineStr">
        <is>
          <t>Source of Variation</t>
        </is>
      </c>
      <c r="B7" s="8" t="inlineStr">
        <is>
          <t>% of total variation</t>
        </is>
      </c>
      <c r="C7" s="8" t="inlineStr">
        <is>
          <t>P value</t>
        </is>
      </c>
      <c r="D7" s="8" t="inlineStr">
        <is>
          <t>P value summary</t>
        </is>
      </c>
      <c r="E7" s="8" t="inlineStr">
        <is>
          <t>Significant?</t>
        </is>
      </c>
      <c r="F7" s="8" t="n"/>
    </row>
    <row r="8">
      <c r="A8" s="9" t="inlineStr">
        <is>
          <t xml:space="preserve">    Interaction</t>
        </is>
      </c>
      <c r="B8" s="8" t="n">
        <v>6.286</v>
      </c>
      <c r="C8" s="8" t="n">
        <v>0.1401</v>
      </c>
      <c r="D8" s="8" t="inlineStr">
        <is>
          <t>ns</t>
        </is>
      </c>
      <c r="E8" s="8" t="inlineStr">
        <is>
          <t>No</t>
        </is>
      </c>
      <c r="F8" s="8" t="n"/>
    </row>
    <row r="9">
      <c r="A9" s="9" t="inlineStr">
        <is>
          <t xml:space="preserve">    Row Factor</t>
        </is>
      </c>
      <c r="B9" s="8" t="n">
        <v>0.3366</v>
      </c>
      <c r="C9" s="8" t="n">
        <v>0.642</v>
      </c>
      <c r="D9" s="8" t="inlineStr">
        <is>
          <t>ns</t>
        </is>
      </c>
      <c r="E9" s="8" t="inlineStr">
        <is>
          <t>No</t>
        </is>
      </c>
      <c r="F9" s="8" t="n"/>
    </row>
    <row r="10">
      <c r="A10" s="9" t="inlineStr">
        <is>
          <t xml:space="preserve">    Column Factor</t>
        </is>
      </c>
      <c r="B10" s="8" t="n">
        <v>14.1</v>
      </c>
      <c r="C10" s="8" t="n">
        <v>0.0147</v>
      </c>
      <c r="D10" s="8" t="inlineStr">
        <is>
          <t>*</t>
        </is>
      </c>
      <c r="E10" s="8" t="inlineStr">
        <is>
          <t>Yes</t>
        </is>
      </c>
      <c r="F10" s="8" t="n"/>
    </row>
    <row r="11">
      <c r="A11" s="9" t="n"/>
      <c r="B11" s="8" t="n"/>
      <c r="C11" s="8" t="n"/>
      <c r="D11" s="8" t="n"/>
      <c r="E11" s="8" t="n"/>
      <c r="F11" s="8" t="n"/>
    </row>
    <row r="12">
      <c r="A12" s="9" t="inlineStr">
        <is>
          <t>ANOVA table</t>
        </is>
      </c>
      <c r="B12" s="8" t="inlineStr">
        <is>
          <t>SS (Type III)</t>
        </is>
      </c>
      <c r="C12" s="8" t="inlineStr">
        <is>
          <t>DF</t>
        </is>
      </c>
      <c r="D12" s="8" t="inlineStr">
        <is>
          <t>MS</t>
        </is>
      </c>
      <c r="E12" s="8" t="inlineStr">
        <is>
          <t>F (DFn, DFd)</t>
        </is>
      </c>
      <c r="F12" s="8" t="inlineStr">
        <is>
          <t>P value</t>
        </is>
      </c>
    </row>
    <row r="13">
      <c r="A13" s="9" t="inlineStr">
        <is>
          <t xml:space="preserve">    Interaction</t>
        </is>
      </c>
      <c r="B13" s="8" t="n">
        <v>0.05043</v>
      </c>
      <c r="C13" s="8" t="n">
        <v>2</v>
      </c>
      <c r="D13" s="8" t="n">
        <v>0.02521</v>
      </c>
      <c r="E13" s="8" t="inlineStr">
        <is>
          <t>F (2, 52) = 2.042</t>
        </is>
      </c>
      <c r="F13" s="8" t="inlineStr">
        <is>
          <t>P=0.1401</t>
        </is>
      </c>
    </row>
    <row r="14">
      <c r="A14" s="9" t="inlineStr">
        <is>
          <t xml:space="preserve">    Row Factor</t>
        </is>
      </c>
      <c r="B14" s="8" t="n">
        <v>0.0027</v>
      </c>
      <c r="C14" s="8" t="n">
        <v>1</v>
      </c>
      <c r="D14" s="8" t="n">
        <v>0.0027</v>
      </c>
      <c r="E14" s="8" t="inlineStr">
        <is>
          <t>F (1, 52) = 0.2187</t>
        </is>
      </c>
      <c r="F14" s="8" t="inlineStr">
        <is>
          <t>P=0.6420</t>
        </is>
      </c>
    </row>
    <row r="15">
      <c r="A15" s="9" t="inlineStr">
        <is>
          <t xml:space="preserve">    Column Factor</t>
        </is>
      </c>
      <c r="B15" s="8" t="n">
        <v>0.1131</v>
      </c>
      <c r="C15" s="8" t="n">
        <v>2</v>
      </c>
      <c r="D15" s="8" t="n">
        <v>0.05655</v>
      </c>
      <c r="E15" s="8" t="inlineStr">
        <is>
          <t>F (2, 52) = 4.580</t>
        </is>
      </c>
      <c r="F15" s="8" t="inlineStr">
        <is>
          <t>P=0.0147</t>
        </is>
      </c>
    </row>
    <row r="16">
      <c r="A16" s="9" t="inlineStr">
        <is>
          <t xml:space="preserve">    Residual</t>
        </is>
      </c>
      <c r="B16" s="8" t="n">
        <v>0.6421</v>
      </c>
      <c r="C16" s="8" t="n">
        <v>52</v>
      </c>
      <c r="D16" s="8" t="n">
        <v>0.01235</v>
      </c>
      <c r="E16" s="8" t="n"/>
      <c r="F16" s="8" t="n"/>
    </row>
    <row r="17">
      <c r="A17" s="9" t="inlineStr">
        <is>
          <t xml:space="preserve">    Total</t>
        </is>
      </c>
      <c r="B17" s="8" t="n">
        <v>0.8022</v>
      </c>
      <c r="C17" s="8" t="n">
        <v>57</v>
      </c>
      <c r="D17" s="8" t="n"/>
      <c r="E17" s="8" t="n"/>
      <c r="F17" s="8" t="n"/>
    </row>
    <row r="18">
      <c r="A18" s="9" t="n"/>
      <c r="B18" s="8" t="n"/>
      <c r="C18" s="8" t="n"/>
      <c r="D18" s="8" t="n"/>
      <c r="E18" s="8" t="n"/>
      <c r="F18" s="8" t="n"/>
    </row>
    <row r="19">
      <c r="A19" s="9" t="inlineStr">
        <is>
          <t>Difference between row means</t>
        </is>
      </c>
      <c r="B19" s="8" t="n"/>
      <c r="C19" s="8" t="n"/>
      <c r="D19" s="8" t="n"/>
      <c r="E19" s="8" t="n"/>
      <c r="F19" s="8" t="n"/>
    </row>
    <row r="20">
      <c r="A20" s="9" t="inlineStr">
        <is>
          <t xml:space="preserve">    Predicted (LS) mean of Juvenil</t>
        </is>
      </c>
      <c r="B20" s="8" t="n">
        <v>0.5585</v>
      </c>
      <c r="C20" s="8" t="n"/>
      <c r="D20" s="8" t="n"/>
      <c r="E20" s="8" t="n"/>
      <c r="F20" s="8" t="n"/>
    </row>
    <row r="21">
      <c r="A21" s="9" t="inlineStr">
        <is>
          <t xml:space="preserve">    Predicted (LS) mean of Adulto</t>
        </is>
      </c>
      <c r="B21" s="8" t="n">
        <v>0.5721000000000001</v>
      </c>
      <c r="C21" s="8" t="n"/>
      <c r="D21" s="8" t="n"/>
      <c r="E21" s="8" t="n"/>
      <c r="F21" s="8" t="n"/>
    </row>
    <row r="22">
      <c r="A22" s="9" t="inlineStr">
        <is>
          <t xml:space="preserve">    Difference between predicted means</t>
        </is>
      </c>
      <c r="B22" s="8" t="n">
        <v>-0.01366</v>
      </c>
      <c r="C22" s="8" t="n"/>
      <c r="D22" s="8" t="n"/>
      <c r="E22" s="8" t="n"/>
      <c r="F22" s="8" t="n"/>
    </row>
    <row r="23">
      <c r="A23" s="9" t="inlineStr">
        <is>
          <t xml:space="preserve">    SE of difference</t>
        </is>
      </c>
      <c r="B23" s="8" t="n">
        <v>0.02922</v>
      </c>
      <c r="C23" s="8" t="n"/>
      <c r="D23" s="8" t="n"/>
      <c r="E23" s="8" t="n"/>
      <c r="F23" s="8" t="n"/>
    </row>
    <row r="24">
      <c r="A24" s="9" t="inlineStr">
        <is>
          <t xml:space="preserve">    95% CI of difference</t>
        </is>
      </c>
      <c r="B24" s="8" t="inlineStr">
        <is>
          <t>-0.07229 to 0.04497</t>
        </is>
      </c>
      <c r="C24" s="8" t="n"/>
      <c r="D24" s="8" t="n"/>
      <c r="E24" s="8" t="n"/>
      <c r="F24" s="8" t="n"/>
    </row>
    <row r="25">
      <c r="A25" s="9" t="n"/>
      <c r="B25" s="8" t="n"/>
      <c r="C25" s="8" t="n"/>
      <c r="D25" s="8" t="n"/>
      <c r="E25" s="8" t="n"/>
      <c r="F25" s="8" t="n"/>
    </row>
    <row r="26">
      <c r="A26" s="9" t="inlineStr">
        <is>
          <t>Data summary</t>
        </is>
      </c>
      <c r="B26" s="8" t="n"/>
      <c r="C26" s="8" t="n"/>
      <c r="D26" s="8" t="n"/>
      <c r="E26" s="8" t="n"/>
      <c r="F26" s="8" t="n"/>
    </row>
    <row r="27">
      <c r="A27" s="9" t="inlineStr">
        <is>
          <t xml:space="preserve">    Number of columns (Column Factor)</t>
        </is>
      </c>
      <c r="B27" s="8" t="n">
        <v>3</v>
      </c>
      <c r="C27" s="8" t="n"/>
      <c r="D27" s="8" t="n"/>
      <c r="E27" s="8" t="n"/>
      <c r="F27" s="8" t="n"/>
    </row>
    <row r="28">
      <c r="A28" s="9" t="inlineStr">
        <is>
          <t xml:space="preserve">    Number of rows (Row Factor)</t>
        </is>
      </c>
      <c r="B28" s="8" t="n">
        <v>2</v>
      </c>
      <c r="C28" s="8" t="n"/>
      <c r="D28" s="8" t="n"/>
      <c r="E28" s="8" t="n"/>
      <c r="F28" s="8" t="n"/>
    </row>
    <row r="29">
      <c r="A29" s="9" t="inlineStr">
        <is>
          <t xml:space="preserve">    Number of values</t>
        </is>
      </c>
      <c r="B29" s="8" t="n">
        <v>58</v>
      </c>
      <c r="C29" s="8" t="n"/>
      <c r="D29" s="8" t="n"/>
      <c r="E29" s="8" t="n"/>
      <c r="F29" s="8" t="n"/>
    </row>
    <row r="30">
      <c r="A30" s="9" t="n"/>
      <c r="B30" s="8" t="n"/>
      <c r="C30" s="8" t="n"/>
      <c r="D30" s="8" t="n"/>
      <c r="E30" s="8" t="n"/>
      <c r="F30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K11" sqref="K11"/>
    </sheetView>
  </sheetViews>
  <sheetFormatPr baseColWidth="10" defaultRowHeight="14.5"/>
  <cols>
    <col width="34.90625" customWidth="1" min="1" max="1"/>
    <col width="15.453125" customWidth="1" min="2" max="2"/>
  </cols>
  <sheetData>
    <row r="1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</row>
    <row r="2">
      <c r="A2" s="9" t="inlineStr">
        <is>
          <t>Compare cell means with others in its row and its column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9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9" t="inlineStr">
        <is>
          <t>Number of families</t>
        </is>
      </c>
      <c r="B4" s="8" t="n">
        <v>5</v>
      </c>
      <c r="C4" s="8" t="n"/>
      <c r="D4" s="8" t="n"/>
      <c r="E4" s="8" t="n"/>
      <c r="F4" s="8" t="n"/>
      <c r="G4" s="8" t="n"/>
      <c r="H4" s="8" t="n"/>
      <c r="I4" s="8" t="n"/>
    </row>
    <row r="5">
      <c r="A5" s="9" t="inlineStr">
        <is>
          <t>Number of comparisons per row family</t>
        </is>
      </c>
      <c r="B5" s="8" t="n">
        <v>3</v>
      </c>
      <c r="C5" s="8" t="n"/>
      <c r="D5" s="8" t="n"/>
      <c r="E5" s="8" t="n"/>
      <c r="F5" s="8" t="n"/>
      <c r="G5" s="8" t="n"/>
      <c r="H5" s="8" t="n"/>
      <c r="I5" s="8" t="n"/>
    </row>
    <row r="6">
      <c r="A6" s="9" t="inlineStr">
        <is>
          <t>Number of comparisons per column family</t>
        </is>
      </c>
      <c r="B6" s="8" t="n">
        <v>1</v>
      </c>
      <c r="C6" s="8" t="n"/>
      <c r="D6" s="8" t="n"/>
      <c r="E6" s="8" t="n"/>
      <c r="F6" s="8" t="n"/>
      <c r="G6" s="8" t="n"/>
      <c r="H6" s="8" t="n"/>
      <c r="I6" s="8" t="n"/>
    </row>
    <row r="7">
      <c r="A7" s="9" t="inlineStr">
        <is>
          <t>Alpha</t>
        </is>
      </c>
      <c r="B7" s="8" t="n">
        <v>0.05</v>
      </c>
      <c r="C7" s="8" t="n"/>
      <c r="D7" s="8" t="n"/>
      <c r="E7" s="8" t="n"/>
      <c r="F7" s="8" t="n"/>
      <c r="G7" s="8" t="n"/>
      <c r="H7" s="8" t="n"/>
      <c r="I7" s="8" t="n"/>
    </row>
    <row r="8">
      <c r="A8" s="9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9" t="inlineStr">
        <is>
          <t>Tukey's multiple comparisons test</t>
        </is>
      </c>
      <c r="B9" s="8" t="inlineStr">
        <is>
          <t>Predicted (LS) Mean diff.</t>
        </is>
      </c>
      <c r="C9" s="8" t="inlineStr">
        <is>
          <t>95.00% CI of diff.</t>
        </is>
      </c>
      <c r="D9" s="8" t="inlineStr">
        <is>
          <t>Below threshold?</t>
        </is>
      </c>
      <c r="E9" s="8" t="inlineStr">
        <is>
          <t>Summary</t>
        </is>
      </c>
      <c r="F9" s="8" t="inlineStr">
        <is>
          <t>Adjusted P Value</t>
        </is>
      </c>
      <c r="G9" s="8" t="n"/>
      <c r="H9" s="8" t="n"/>
      <c r="I9" s="8" t="n"/>
    </row>
    <row r="10">
      <c r="A10" s="9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9" t="inlineStr">
        <is>
          <t xml:space="preserve">  Adulto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9" t="inlineStr">
        <is>
          <t xml:space="preserve">    CONTROL vs. SACAROSA</t>
        </is>
      </c>
      <c r="B12" s="8" t="n">
        <v>0.0544</v>
      </c>
      <c r="C12" s="8" t="inlineStr">
        <is>
          <t>-0.06550 to 0.1743</t>
        </is>
      </c>
      <c r="D12" s="8" t="inlineStr">
        <is>
          <t>No</t>
        </is>
      </c>
      <c r="E12" s="8" t="inlineStr">
        <is>
          <t>ns</t>
        </is>
      </c>
      <c r="F12" s="8" t="n">
        <v>0.5216</v>
      </c>
      <c r="G12" s="8" t="n"/>
      <c r="H12" s="8" t="n"/>
      <c r="I12" s="8" t="n"/>
    </row>
    <row r="13">
      <c r="A13" s="9" t="inlineStr">
        <is>
          <t xml:space="preserve">    CONTROL vs. STEVIA</t>
        </is>
      </c>
      <c r="B13" s="8" t="n">
        <v>0.0559</v>
      </c>
      <c r="C13" s="8" t="inlineStr">
        <is>
          <t>-0.06400 to 0.1758</t>
        </is>
      </c>
      <c r="D13" s="8" t="inlineStr">
        <is>
          <t>No</t>
        </is>
      </c>
      <c r="E13" s="8" t="inlineStr">
        <is>
          <t>ns</t>
        </is>
      </c>
      <c r="F13" s="8" t="n">
        <v>0.5033</v>
      </c>
      <c r="G13" s="8" t="n"/>
      <c r="H13" s="8" t="n"/>
      <c r="I13" s="8" t="n"/>
    </row>
    <row r="14">
      <c r="A14" s="9" t="inlineStr">
        <is>
          <t xml:space="preserve">    SACAROSA vs. STEVIA</t>
        </is>
      </c>
      <c r="B14" s="8" t="n">
        <v>0.0015</v>
      </c>
      <c r="C14" s="8" t="inlineStr">
        <is>
          <t>-0.1184 to 0.1214</t>
        </is>
      </c>
      <c r="D14" s="8" t="inlineStr">
        <is>
          <t>No</t>
        </is>
      </c>
      <c r="E14" s="8" t="inlineStr">
        <is>
          <t>ns</t>
        </is>
      </c>
      <c r="F14" s="8" t="n">
        <v>0.9995000000000001</v>
      </c>
      <c r="G14" s="8" t="n"/>
      <c r="H14" s="8" t="n"/>
      <c r="I14" s="8" t="n"/>
    </row>
    <row r="15">
      <c r="A15" s="9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9" t="inlineStr">
        <is>
          <t xml:space="preserve">  Juvenil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9" t="inlineStr">
        <is>
          <t xml:space="preserve">    CONTROL vs. SACAROSA</t>
        </is>
      </c>
      <c r="B17" s="8" t="n">
        <v>0.1619</v>
      </c>
      <c r="C17" s="8" t="inlineStr">
        <is>
          <t>0.03551 to 0.2883</t>
        </is>
      </c>
      <c r="D17" s="8" t="inlineStr">
        <is>
          <t>Yes</t>
        </is>
      </c>
      <c r="E17" s="8" t="inlineStr">
        <is>
          <t>**</t>
        </is>
      </c>
      <c r="F17" s="8" t="n">
        <v>0.0089</v>
      </c>
      <c r="G17" s="8" t="n"/>
      <c r="H17" s="8" t="n"/>
      <c r="I17" s="8" t="n"/>
    </row>
    <row r="18">
      <c r="A18" s="9" t="inlineStr">
        <is>
          <t xml:space="preserve">    CONTROL vs. STEVIA</t>
        </is>
      </c>
      <c r="B18" s="8" t="n">
        <v>0.0257</v>
      </c>
      <c r="C18" s="8" t="inlineStr">
        <is>
          <t>-0.09748 to 0.1489</t>
        </is>
      </c>
      <c r="D18" s="8" t="inlineStr">
        <is>
          <t>No</t>
        </is>
      </c>
      <c r="E18" s="8" t="inlineStr">
        <is>
          <t>ns</t>
        </is>
      </c>
      <c r="F18" s="8" t="n">
        <v>0.87</v>
      </c>
      <c r="G18" s="8" t="n"/>
      <c r="H18" s="8" t="n"/>
      <c r="I18" s="8" t="n"/>
    </row>
    <row r="19">
      <c r="A19" s="9" t="inlineStr">
        <is>
          <t xml:space="preserve">    SACAROSA vs. STEVIA</t>
        </is>
      </c>
      <c r="B19" s="8" t="n">
        <v>-0.1362</v>
      </c>
      <c r="C19" s="8" t="inlineStr">
        <is>
          <t>-0.2594 to -0.01301</t>
        </is>
      </c>
      <c r="D19" s="8" t="inlineStr">
        <is>
          <t>Yes</t>
        </is>
      </c>
      <c r="E19" s="8" t="inlineStr">
        <is>
          <t>*</t>
        </is>
      </c>
      <c r="F19" s="8" t="n">
        <v>0.027</v>
      </c>
      <c r="G19" s="8" t="n"/>
      <c r="H19" s="8" t="n"/>
      <c r="I19" s="8" t="n"/>
    </row>
    <row r="20">
      <c r="A20" s="9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9" t="inlineStr">
        <is>
          <t xml:space="preserve">  CONTROL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9" t="inlineStr">
        <is>
          <t xml:space="preserve">    Juvenil vs. Adulto</t>
        </is>
      </c>
      <c r="B22" s="8" t="n">
        <v>0.0121</v>
      </c>
      <c r="C22" s="8" t="inlineStr">
        <is>
          <t>-0.09035 to 0.1146</t>
        </is>
      </c>
      <c r="D22" s="8" t="inlineStr">
        <is>
          <t>No</t>
        </is>
      </c>
      <c r="E22" s="8" t="inlineStr">
        <is>
          <t>ns</t>
        </is>
      </c>
      <c r="F22" s="8" t="n">
        <v>0.8136</v>
      </c>
      <c r="G22" s="8" t="n"/>
      <c r="H22" s="8" t="n"/>
      <c r="I22" s="8" t="n"/>
    </row>
    <row r="23">
      <c r="A23" s="9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inlineStr">
        <is>
          <t xml:space="preserve">  SACAROSA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9" t="inlineStr">
        <is>
          <t xml:space="preserve">    Juvenil vs. Adulto</t>
        </is>
      </c>
      <c r="B25" s="8" t="n">
        <v>-0.09539</v>
      </c>
      <c r="C25" s="8" t="inlineStr">
        <is>
          <t>-0.1978 to 0.007065</t>
        </is>
      </c>
      <c r="D25" s="8" t="inlineStr">
        <is>
          <t>No</t>
        </is>
      </c>
      <c r="E25" s="8" t="inlineStr">
        <is>
          <t>ns</t>
        </is>
      </c>
      <c r="F25" s="8" t="n">
        <v>0.0674</v>
      </c>
      <c r="G25" s="8" t="n"/>
      <c r="H25" s="8" t="n"/>
      <c r="I25" s="8" t="n"/>
    </row>
    <row r="26">
      <c r="A26" s="9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9" t="inlineStr">
        <is>
          <t xml:space="preserve">  STEVIA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9" t="inlineStr">
        <is>
          <t xml:space="preserve">    Juvenil vs. Adulto</t>
        </is>
      </c>
      <c r="B28" s="8" t="n">
        <v>0.0423</v>
      </c>
      <c r="C28" s="8" t="inlineStr">
        <is>
          <t>-0.05742 to 0.1420</t>
        </is>
      </c>
      <c r="D28" s="8" t="inlineStr">
        <is>
          <t>No</t>
        </is>
      </c>
      <c r="E28" s="8" t="inlineStr">
        <is>
          <t>ns</t>
        </is>
      </c>
      <c r="F28" s="8" t="n">
        <v>0.3986</v>
      </c>
      <c r="G28" s="8" t="n"/>
      <c r="H28" s="8" t="n"/>
      <c r="I28" s="8" t="n"/>
    </row>
    <row r="29">
      <c r="A29" s="9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9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9" t="inlineStr">
        <is>
          <t>Test details</t>
        </is>
      </c>
      <c r="B31" s="8" t="inlineStr">
        <is>
          <t>Predicted (LS) Mean 1</t>
        </is>
      </c>
      <c r="C31" s="8" t="inlineStr">
        <is>
          <t>Predicted (LS) Mean 2</t>
        </is>
      </c>
      <c r="D31" s="8" t="inlineStr">
        <is>
          <t>Predicted (LS) Mean diff.</t>
        </is>
      </c>
      <c r="E31" s="8" t="inlineStr">
        <is>
          <t>SE of diff.</t>
        </is>
      </c>
      <c r="F31" s="8" t="inlineStr">
        <is>
          <t>N1</t>
        </is>
      </c>
      <c r="G31" s="8" t="inlineStr">
        <is>
          <t>N2</t>
        </is>
      </c>
      <c r="H31" s="8" t="inlineStr">
        <is>
          <t>q</t>
        </is>
      </c>
      <c r="I31" s="8" t="inlineStr">
        <is>
          <t>DF</t>
        </is>
      </c>
    </row>
    <row r="32">
      <c r="A32" s="9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9" t="inlineStr">
        <is>
          <t xml:space="preserve">  Adulto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9" t="inlineStr">
        <is>
          <t xml:space="preserve">    CONTROL vs. SACAROSA</t>
        </is>
      </c>
      <c r="B34" s="8" t="n">
        <v>0.6089</v>
      </c>
      <c r="C34" s="8" t="n">
        <v>0.5545</v>
      </c>
      <c r="D34" s="8" t="n">
        <v>0.0544</v>
      </c>
      <c r="E34" s="8" t="n">
        <v>0.0497</v>
      </c>
      <c r="F34" s="8" t="n">
        <v>10</v>
      </c>
      <c r="G34" s="8" t="n">
        <v>10</v>
      </c>
      <c r="H34" s="8" t="n">
        <v>1.548</v>
      </c>
      <c r="I34" s="8" t="n">
        <v>52</v>
      </c>
    </row>
    <row r="35">
      <c r="A35" s="9" t="inlineStr">
        <is>
          <t xml:space="preserve">    CONTROL vs. STEVIA</t>
        </is>
      </c>
      <c r="B35" s="8" t="n">
        <v>0.6089</v>
      </c>
      <c r="C35" s="8" t="n">
        <v>0.553</v>
      </c>
      <c r="D35" s="8" t="n">
        <v>0.0559</v>
      </c>
      <c r="E35" s="8" t="n">
        <v>0.0497</v>
      </c>
      <c r="F35" s="8" t="n">
        <v>10</v>
      </c>
      <c r="G35" s="8" t="n">
        <v>10</v>
      </c>
      <c r="H35" s="8" t="n">
        <v>1.591</v>
      </c>
      <c r="I35" s="8" t="n">
        <v>52</v>
      </c>
    </row>
    <row r="36">
      <c r="A36" s="9" t="inlineStr">
        <is>
          <t xml:space="preserve">    SACAROSA vs. STEVIA</t>
        </is>
      </c>
      <c r="B36" s="8" t="n">
        <v>0.5545</v>
      </c>
      <c r="C36" s="8" t="n">
        <v>0.553</v>
      </c>
      <c r="D36" s="8" t="n">
        <v>0.0015</v>
      </c>
      <c r="E36" s="8" t="n">
        <v>0.0497</v>
      </c>
      <c r="F36" s="8" t="n">
        <v>10</v>
      </c>
      <c r="G36" s="8" t="n">
        <v>10</v>
      </c>
      <c r="H36" s="8" t="n">
        <v>0.04269</v>
      </c>
      <c r="I36" s="8" t="n">
        <v>52</v>
      </c>
    </row>
    <row r="37">
      <c r="A37" s="9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9" t="inlineStr">
        <is>
          <t xml:space="preserve">  Juvenil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9" t="inlineStr">
        <is>
          <t xml:space="preserve">    CONTROL vs. SACAROSA</t>
        </is>
      </c>
      <c r="B39" s="8" t="n">
        <v>0.621</v>
      </c>
      <c r="C39" s="8" t="n">
        <v>0.4591</v>
      </c>
      <c r="D39" s="8" t="n">
        <v>0.1619</v>
      </c>
      <c r="E39" s="8" t="n">
        <v>0.05238</v>
      </c>
      <c r="F39" s="8" t="n">
        <v>9</v>
      </c>
      <c r="G39" s="8" t="n">
        <v>9</v>
      </c>
      <c r="H39" s="8" t="n">
        <v>4.371</v>
      </c>
      <c r="I39" s="8" t="n">
        <v>52</v>
      </c>
    </row>
    <row r="40">
      <c r="A40" s="9" t="inlineStr">
        <is>
          <t xml:space="preserve">    CONTROL vs. STEVIA</t>
        </is>
      </c>
      <c r="B40" s="8" t="n">
        <v>0.621</v>
      </c>
      <c r="C40" s="8" t="n">
        <v>0.5953000000000001</v>
      </c>
      <c r="D40" s="8" t="n">
        <v>0.0257</v>
      </c>
      <c r="E40" s="8" t="n">
        <v>0.05106</v>
      </c>
      <c r="F40" s="8" t="n">
        <v>9</v>
      </c>
      <c r="G40" s="8" t="n">
        <v>10</v>
      </c>
      <c r="H40" s="8" t="n">
        <v>0.7119</v>
      </c>
      <c r="I40" s="8" t="n">
        <v>52</v>
      </c>
    </row>
    <row r="41">
      <c r="A41" s="9" t="inlineStr">
        <is>
          <t xml:space="preserve">    SACAROSA vs. STEVIA</t>
        </is>
      </c>
      <c r="B41" s="8" t="n">
        <v>0.4591</v>
      </c>
      <c r="C41" s="8" t="n">
        <v>0.5953000000000001</v>
      </c>
      <c r="D41" s="8" t="n">
        <v>-0.1362</v>
      </c>
      <c r="E41" s="8" t="n">
        <v>0.05106</v>
      </c>
      <c r="F41" s="8" t="n">
        <v>9</v>
      </c>
      <c r="G41" s="8" t="n">
        <v>10</v>
      </c>
      <c r="H41" s="8" t="n">
        <v>3.772</v>
      </c>
      <c r="I41" s="8" t="n">
        <v>52</v>
      </c>
    </row>
    <row r="42">
      <c r="A42" s="9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9" t="inlineStr">
        <is>
          <t xml:space="preserve">  CONTROL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9" t="inlineStr">
        <is>
          <t xml:space="preserve">    Juvenil vs. Adulto</t>
        </is>
      </c>
      <c r="B44" s="8" t="n">
        <v>0.621</v>
      </c>
      <c r="C44" s="8" t="n">
        <v>0.6089</v>
      </c>
      <c r="D44" s="8" t="n">
        <v>0.0121</v>
      </c>
      <c r="E44" s="8" t="n">
        <v>0.05106</v>
      </c>
      <c r="F44" s="8" t="n">
        <v>9</v>
      </c>
      <c r="G44" s="8" t="n">
        <v>10</v>
      </c>
      <c r="H44" s="8" t="n">
        <v>0.3352</v>
      </c>
      <c r="I44" s="8" t="n">
        <v>52</v>
      </c>
    </row>
    <row r="45">
      <c r="A45" s="9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9" t="inlineStr">
        <is>
          <t xml:space="preserve">  SACAROSA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9" t="inlineStr">
        <is>
          <t xml:space="preserve">    Juvenil vs. Adulto</t>
        </is>
      </c>
      <c r="B47" s="8" t="n">
        <v>0.4591</v>
      </c>
      <c r="C47" s="8" t="n">
        <v>0.5545</v>
      </c>
      <c r="D47" s="8" t="n">
        <v>-0.09539</v>
      </c>
      <c r="E47" s="8" t="n">
        <v>0.05106</v>
      </c>
      <c r="F47" s="8" t="n">
        <v>9</v>
      </c>
      <c r="G47" s="8" t="n">
        <v>10</v>
      </c>
      <c r="H47" s="8" t="n">
        <v>2.642</v>
      </c>
      <c r="I47" s="8" t="n">
        <v>52</v>
      </c>
    </row>
    <row r="48">
      <c r="A48" s="9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9" t="inlineStr">
        <is>
          <t xml:space="preserve">  STEVIA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9" t="inlineStr">
        <is>
          <t xml:space="preserve">    Juvenil vs. Adulto</t>
        </is>
      </c>
      <c r="B50" s="8" t="n">
        <v>0.5953000000000001</v>
      </c>
      <c r="C50" s="8" t="n">
        <v>0.553</v>
      </c>
      <c r="D50" s="8" t="n">
        <v>0.0423</v>
      </c>
      <c r="E50" s="8" t="n">
        <v>0.0497</v>
      </c>
      <c r="F50" s="8" t="n">
        <v>10</v>
      </c>
      <c r="G50" s="8" t="n">
        <v>10</v>
      </c>
      <c r="H50" s="8" t="n">
        <v>1.204</v>
      </c>
      <c r="I50" s="8" t="n">
        <v>52</v>
      </c>
    </row>
    <row r="51">
      <c r="A51" s="9" t="n"/>
      <c r="B51" s="8" t="n"/>
      <c r="C51" s="8" t="n"/>
      <c r="D51" s="8" t="n"/>
      <c r="E51" s="8" t="n"/>
      <c r="F51" s="8" t="n"/>
      <c r="G51" s="8" t="n"/>
      <c r="H51" s="8" t="n"/>
      <c r="I51" s="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B7" sqref="B7:K7"/>
    </sheetView>
  </sheetViews>
  <sheetFormatPr baseColWidth="10" defaultRowHeight="14.5"/>
  <sheetData>
    <row r="1" ht="15.5" customHeight="1">
      <c r="A1" s="4" t="inlineStr">
        <is>
          <t>tasa – s-SLR (isóceles)</t>
        </is>
      </c>
    </row>
    <row r="2">
      <c r="A2" s="5" t="inlineStr">
        <is>
          <t>Azar = 0,5. Filas = Edad; grupos de columnas = Tratamiento; subcolumnas = animales.</t>
        </is>
      </c>
    </row>
    <row r="4">
      <c r="B4" s="14" t="inlineStr">
        <is>
          <t>Control</t>
        </is>
      </c>
      <c r="L4" s="14" t="inlineStr">
        <is>
          <t>Sacarosa</t>
        </is>
      </c>
      <c r="V4" s="14" t="inlineStr">
        <is>
          <t>Stevia</t>
        </is>
      </c>
    </row>
    <row r="5">
      <c r="B5" s="6" t="n">
        <v>1</v>
      </c>
      <c r="C5" s="6" t="n">
        <v>2</v>
      </c>
      <c r="D5" s="6" t="n">
        <v>3</v>
      </c>
      <c r="E5" s="6" t="n">
        <v>4</v>
      </c>
      <c r="F5" s="6" t="n">
        <v>5</v>
      </c>
      <c r="G5" s="6" t="n">
        <v>6</v>
      </c>
      <c r="H5" s="6" t="n">
        <v>7</v>
      </c>
      <c r="I5" s="6" t="n">
        <v>8</v>
      </c>
      <c r="J5" s="6" t="n">
        <v>9</v>
      </c>
      <c r="K5" s="6" t="n">
        <v>10</v>
      </c>
      <c r="L5" s="6" t="n">
        <v>1</v>
      </c>
      <c r="M5" s="6" t="n">
        <v>2</v>
      </c>
      <c r="N5" s="6" t="n">
        <v>3</v>
      </c>
      <c r="O5" s="6" t="n">
        <v>4</v>
      </c>
      <c r="P5" s="6" t="n">
        <v>5</v>
      </c>
      <c r="Q5" s="6" t="n">
        <v>6</v>
      </c>
      <c r="R5" s="6" t="n">
        <v>7</v>
      </c>
      <c r="S5" s="6" t="n">
        <v>8</v>
      </c>
      <c r="T5" s="6" t="n">
        <v>9</v>
      </c>
      <c r="U5" s="6" t="n">
        <v>10</v>
      </c>
      <c r="V5" s="6" t="n">
        <v>1</v>
      </c>
      <c r="W5" s="6" t="n">
        <v>2</v>
      </c>
      <c r="X5" s="6" t="n">
        <v>3</v>
      </c>
      <c r="Y5" s="6" t="n">
        <v>4</v>
      </c>
      <c r="Z5" s="6" t="n">
        <v>5</v>
      </c>
      <c r="AA5" s="6" t="n">
        <v>6</v>
      </c>
      <c r="AB5" s="6" t="n">
        <v>7</v>
      </c>
      <c r="AC5" s="6" t="n">
        <v>8</v>
      </c>
      <c r="AD5" s="6" t="n">
        <v>9</v>
      </c>
      <c r="AE5" s="6" t="n">
        <v>10</v>
      </c>
    </row>
    <row r="6">
      <c r="A6" s="7" t="inlineStr">
        <is>
          <t>Juvenil</t>
        </is>
      </c>
      <c r="B6" s="8" t="n">
        <v>0.697</v>
      </c>
      <c r="C6" s="8" t="n">
        <v>0.571</v>
      </c>
      <c r="D6" s="8" t="n">
        <v>0.592</v>
      </c>
      <c r="E6" s="8" t="n">
        <v>0.595</v>
      </c>
      <c r="F6" s="8" t="n">
        <v>0.679</v>
      </c>
      <c r="G6" s="8" t="n">
        <v>0.478</v>
      </c>
      <c r="H6" s="8" t="n">
        <v>0.594</v>
      </c>
      <c r="I6" s="8" t="n">
        <v>0.623</v>
      </c>
      <c r="J6" s="8" t="n">
        <v>0.653</v>
      </c>
      <c r="K6" s="8" t="n">
        <v>0.5679999999999999</v>
      </c>
      <c r="L6" s="8" t="n">
        <v>0.436</v>
      </c>
      <c r="M6" s="8" t="n">
        <v>0.442</v>
      </c>
      <c r="N6" s="8" t="n">
        <v>0.543</v>
      </c>
      <c r="O6" s="8" t="n">
        <v>0.413</v>
      </c>
      <c r="P6" s="8" t="n">
        <v>0.438</v>
      </c>
      <c r="Q6" s="8" t="n">
        <v>0.254</v>
      </c>
      <c r="R6" s="8" t="n">
        <v>0.582</v>
      </c>
      <c r="S6" s="8" t="n">
        <v>0.301</v>
      </c>
      <c r="T6" s="8" t="n">
        <v>0.586</v>
      </c>
      <c r="U6" s="8" t="n"/>
      <c r="V6" s="10" t="n">
        <v>0.410714285714286</v>
      </c>
      <c r="W6" s="10" t="n">
        <v>0.477064220183486</v>
      </c>
      <c r="X6" s="10" t="n">
        <v>0.424043715846995</v>
      </c>
      <c r="Y6" s="10" t="n">
        <v>0.732510288065844</v>
      </c>
      <c r="Z6" s="10" t="n">
        <v>0.879120879120879</v>
      </c>
      <c r="AA6" s="10" t="n">
        <v>0.431279620853081</v>
      </c>
      <c r="AB6" s="10" t="n">
        <v>0.55919395465995</v>
      </c>
      <c r="AC6" s="10" t="n">
        <v>0.611475409836066</v>
      </c>
      <c r="AD6" s="10" t="n">
        <v>0.835443037974684</v>
      </c>
      <c r="AE6" s="10" t="n">
        <v>0.544</v>
      </c>
    </row>
    <row r="7">
      <c r="A7" s="7" t="inlineStr">
        <is>
          <t>Adulto</t>
        </is>
      </c>
      <c r="B7" s="8" t="n">
        <v>0.621</v>
      </c>
      <c r="C7" s="8" t="n">
        <v>0.74</v>
      </c>
      <c r="D7" s="8" t="n">
        <v>0.733</v>
      </c>
      <c r="E7" s="8" t="n">
        <v>0.785</v>
      </c>
      <c r="F7" s="8" t="n">
        <v>0.59</v>
      </c>
      <c r="G7" s="8" t="n">
        <v>0.455</v>
      </c>
      <c r="H7" s="8" t="n">
        <v>0.469</v>
      </c>
      <c r="I7" s="8" t="n">
        <v>0.5629999999999999</v>
      </c>
      <c r="J7" s="8" t="n">
        <v>0.668</v>
      </c>
      <c r="K7" s="8" t="n">
        <v>0.598</v>
      </c>
      <c r="L7" s="8" t="n">
        <v>0.428</v>
      </c>
      <c r="M7" s="8" t="n">
        <v>0.585</v>
      </c>
      <c r="N7" s="8" t="n">
        <v>0.49</v>
      </c>
      <c r="O7" s="8" t="n">
        <v>0.721</v>
      </c>
      <c r="P7" s="8" t="n">
        <v>0.4</v>
      </c>
      <c r="Q7" s="8" t="n">
        <v>0.356</v>
      </c>
      <c r="R7" s="8" t="n">
        <v>0.301</v>
      </c>
      <c r="S7" s="8" t="n">
        <v>0.288</v>
      </c>
      <c r="T7" s="8" t="n">
        <v>0.276</v>
      </c>
      <c r="U7" s="8" t="n">
        <v>0.746</v>
      </c>
      <c r="V7" s="10" t="n">
        <v>0.5625</v>
      </c>
      <c r="W7" s="10" t="n">
        <v>0.426116838487973</v>
      </c>
      <c r="X7" s="10" t="n">
        <v>0.363013698630137</v>
      </c>
      <c r="Y7" s="10" t="n">
        <v>0.377171215880893</v>
      </c>
      <c r="Z7" s="10" t="n">
        <v>0.5</v>
      </c>
      <c r="AA7" s="10" t="n">
        <v>0.343511450381679</v>
      </c>
      <c r="AB7" s="10" t="n">
        <v>0.566901408450704</v>
      </c>
      <c r="AC7" s="10" t="n">
        <v>0.84304932735426</v>
      </c>
      <c r="AD7" s="10" t="n">
        <v>0.518181818181818</v>
      </c>
      <c r="AE7" s="10" t="n">
        <v>0.770833333333333</v>
      </c>
    </row>
    <row r="9">
      <c r="A9" s="5" t="inlineStr">
        <is>
          <t>Bloque a copiar en Prism: B6:AE7 (solo valores).</t>
        </is>
      </c>
    </row>
    <row r="10">
      <c r="F10" s="11" t="n"/>
      <c r="G10" s="11" t="inlineStr">
        <is>
          <t>ctrol</t>
        </is>
      </c>
      <c r="H10" s="11" t="inlineStr">
        <is>
          <t>sacarosa</t>
        </is>
      </c>
      <c r="I10" s="11" t="inlineStr">
        <is>
          <t>stevia</t>
        </is>
      </c>
    </row>
    <row r="11">
      <c r="F11" s="11" t="inlineStr">
        <is>
          <t>juv</t>
        </is>
      </c>
      <c r="G11" s="11">
        <f>AVERAGE(B6:K6)</f>
        <v/>
      </c>
      <c r="H11" s="11">
        <f>AVERAGE(K6:T6)</f>
        <v/>
      </c>
      <c r="I11" s="13">
        <f>AVERAGE(V6:AE6)</f>
        <v/>
      </c>
    </row>
    <row r="12">
      <c r="F12" s="11" t="inlineStr">
        <is>
          <t>adulto</t>
        </is>
      </c>
      <c r="G12" s="11">
        <f>AVERAGE(B7:K7)</f>
        <v/>
      </c>
      <c r="H12" s="11">
        <f>AVERAGE(L7:U7)</f>
        <v/>
      </c>
      <c r="I12" s="13">
        <f>AVERAGE(V7:AE7)</f>
        <v/>
      </c>
    </row>
  </sheetData>
  <mergeCells count="3">
    <mergeCell ref="B4:K4"/>
    <mergeCell ref="L4:U4"/>
    <mergeCell ref="V4:AE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8"/>
  <sheetViews>
    <sheetView tabSelected="1" workbookViewId="0">
      <selection activeCell="M11" sqref="M11"/>
    </sheetView>
  </sheetViews>
  <sheetFormatPr baseColWidth="10" defaultColWidth="8.6328125" defaultRowHeight="14.5"/>
  <cols>
    <col width="9" customWidth="1" min="1" max="1"/>
    <col width="12" customWidth="1" min="2" max="2"/>
    <col width="18" customWidth="1" min="3" max="3"/>
    <col width="11" customWidth="1" min="4" max="4"/>
    <col width="12" customWidth="1" min="5" max="5"/>
    <col width="24" customWidth="1" min="6" max="6"/>
    <col width="26" customWidth="1" min="7" max="7"/>
    <col width="9" customWidth="1" min="8" max="9"/>
  </cols>
  <sheetData>
    <row r="1">
      <c r="A1" s="6" t="inlineStr">
        <is>
          <t>Edad</t>
        </is>
      </c>
      <c r="B1" s="6" t="inlineStr">
        <is>
          <t>Tratamiento</t>
        </is>
      </c>
      <c r="C1" s="6" t="inlineStr">
        <is>
          <t>Configuración</t>
        </is>
      </c>
      <c r="D1" s="6" t="inlineStr">
        <is>
          <t>Subcolumna</t>
        </is>
      </c>
      <c r="E1" s="6" t="inlineStr">
        <is>
          <t>Animal</t>
        </is>
      </c>
      <c r="F1" s="6" t="inlineStr">
        <is>
          <t>Pestaña</t>
        </is>
      </c>
      <c r="G1" s="6" t="inlineStr">
        <is>
          <t>Archivo</t>
        </is>
      </c>
      <c r="H1" s="6" t="inlineStr">
        <is>
          <t>Tasa</t>
        </is>
      </c>
      <c r="I1" s="6" t="inlineStr">
        <is>
          <t>DI</t>
        </is>
      </c>
    </row>
    <row r="2">
      <c r="A2" s="15" t="inlineStr">
        <is>
          <t>Adulto</t>
        </is>
      </c>
      <c r="B2" s="15" t="inlineStr">
        <is>
          <t>Control</t>
        </is>
      </c>
      <c r="C2" s="15" t="inlineStr">
        <is>
          <t>d-SLR (equilátero)</t>
        </is>
      </c>
      <c r="D2" s="15" t="n">
        <v>1</v>
      </c>
      <c r="E2" s="15" t="inlineStr">
        <is>
          <t>con 1</t>
        </is>
      </c>
      <c r="F2" s="15" t="inlineStr">
        <is>
          <t>250509 D2 CtrlSac</t>
        </is>
      </c>
      <c r="G2" s="15" t="inlineStr">
        <is>
          <t>SLR_Adulto_2024y2025.xlsx</t>
        </is>
      </c>
      <c r="H2" s="10">
        <f>IF(INDEX(' D-SLR'!$B$6:$AE$7,2,1)="","",INDEX(' D-SLR'!$B$6:$AE$7,2,1))</f>
        <v/>
      </c>
      <c r="I2" s="10">
        <f>IF(H2="","",2*H2-1)</f>
        <v/>
      </c>
    </row>
    <row r="3">
      <c r="A3" s="15" t="inlineStr">
        <is>
          <t>Adulto</t>
        </is>
      </c>
      <c r="B3" s="15" t="inlineStr">
        <is>
          <t>Control</t>
        </is>
      </c>
      <c r="C3" s="15" t="inlineStr">
        <is>
          <t>d-SLR (equilátero)</t>
        </is>
      </c>
      <c r="D3" s="15" t="n">
        <v>2</v>
      </c>
      <c r="E3" s="15" t="inlineStr">
        <is>
          <t>con 2</t>
        </is>
      </c>
      <c r="F3" s="15" t="inlineStr">
        <is>
          <t>250509 D2 CtrlSac</t>
        </is>
      </c>
      <c r="G3" s="15" t="inlineStr">
        <is>
          <t>SLR_Adulto_2024y2025.xlsx</t>
        </is>
      </c>
      <c r="H3" s="10">
        <f>IF(INDEX(' D-SLR'!$B$6:$AE$7,2,2)="","",INDEX(' D-SLR'!$B$6:$AE$7,2,2))</f>
        <v/>
      </c>
      <c r="I3" s="10">
        <f>IF(H3="","",2*H3-1)</f>
        <v/>
      </c>
    </row>
    <row r="4">
      <c r="A4" s="15" t="inlineStr">
        <is>
          <t>Adulto</t>
        </is>
      </c>
      <c r="B4" s="15" t="inlineStr">
        <is>
          <t>Control</t>
        </is>
      </c>
      <c r="C4" s="15" t="inlineStr">
        <is>
          <t>d-SLR (equilátero)</t>
        </is>
      </c>
      <c r="D4" s="15" t="n">
        <v>3</v>
      </c>
      <c r="E4" s="15" t="inlineStr">
        <is>
          <t>con 3</t>
        </is>
      </c>
      <c r="F4" s="15" t="inlineStr">
        <is>
          <t>250509 D2 CtrlSac</t>
        </is>
      </c>
      <c r="G4" s="15" t="inlineStr">
        <is>
          <t>SLR_Adulto_2024y2025.xlsx</t>
        </is>
      </c>
      <c r="H4" s="10">
        <f>IF(INDEX(' D-SLR'!$B$6:$AE$7,2,3)="","",INDEX(' D-SLR'!$B$6:$AE$7,2,3))</f>
        <v/>
      </c>
      <c r="I4" s="10">
        <f>IF(H4="","",2*H4-1)</f>
        <v/>
      </c>
    </row>
    <row r="5">
      <c r="A5" s="15" t="inlineStr">
        <is>
          <t>Adulto</t>
        </is>
      </c>
      <c r="B5" s="15" t="inlineStr">
        <is>
          <t>Control</t>
        </is>
      </c>
      <c r="C5" s="15" t="inlineStr">
        <is>
          <t>d-SLR (equilátero)</t>
        </is>
      </c>
      <c r="D5" s="15" t="n">
        <v>4</v>
      </c>
      <c r="E5" s="15" t="inlineStr">
        <is>
          <t>con 4</t>
        </is>
      </c>
      <c r="F5" s="15" t="inlineStr">
        <is>
          <t>250509 D2 CtrlSac</t>
        </is>
      </c>
      <c r="G5" s="15" t="inlineStr">
        <is>
          <t>SLR_Adulto_2024y2025.xlsx</t>
        </is>
      </c>
      <c r="H5" s="10">
        <f>IF(INDEX(' D-SLR'!$B$6:$AE$7,2,4)="","",INDEX(' D-SLR'!$B$6:$AE$7,2,4))</f>
        <v/>
      </c>
      <c r="I5" s="10">
        <f>IF(H5="","",2*H5-1)</f>
        <v/>
      </c>
    </row>
    <row r="6">
      <c r="A6" s="15" t="inlineStr">
        <is>
          <t>Adulto</t>
        </is>
      </c>
      <c r="B6" s="15" t="inlineStr">
        <is>
          <t>Control</t>
        </is>
      </c>
      <c r="C6" s="15" t="inlineStr">
        <is>
          <t>d-SLR (equilátero)</t>
        </is>
      </c>
      <c r="D6" s="15" t="n">
        <v>5</v>
      </c>
      <c r="E6" s="15" t="inlineStr">
        <is>
          <t>con 5</t>
        </is>
      </c>
      <c r="F6" s="15" t="inlineStr">
        <is>
          <t>250509 D2 CtrlSac</t>
        </is>
      </c>
      <c r="G6" s="15" t="inlineStr">
        <is>
          <t>SLR_Adulto_2024y2025.xlsx</t>
        </is>
      </c>
      <c r="H6" s="10">
        <f>IF(INDEX(' D-SLR'!$B$6:$AE$7,2,5)="","",INDEX(' D-SLR'!$B$6:$AE$7,2,5))</f>
        <v/>
      </c>
      <c r="I6" s="10">
        <f>IF(H6="","",2*H6-1)</f>
        <v/>
      </c>
    </row>
    <row r="7">
      <c r="A7" s="15" t="inlineStr">
        <is>
          <t>Adulto</t>
        </is>
      </c>
      <c r="B7" s="15" t="inlineStr">
        <is>
          <t>Control</t>
        </is>
      </c>
      <c r="C7" s="15" t="inlineStr">
        <is>
          <t>d-SLR (equilátero)</t>
        </is>
      </c>
      <c r="D7" s="15" t="n">
        <v>6</v>
      </c>
      <c r="E7" s="15" t="inlineStr">
        <is>
          <t>1</t>
        </is>
      </c>
      <c r="F7" s="15" t="inlineStr">
        <is>
          <t>251219 D2 Ctrl-dic vasos</t>
        </is>
      </c>
      <c r="G7" s="15" t="inlineStr">
        <is>
          <t>SLR_Adulto_2024y2025.xlsx</t>
        </is>
      </c>
      <c r="H7" s="10">
        <f>IF(INDEX(' D-SLR'!$B$6:$AE$7,2,6)="","",INDEX(' D-SLR'!$B$6:$AE$7,2,6))</f>
        <v/>
      </c>
      <c r="I7" s="10">
        <f>IF(H7="","",2*H7-1)</f>
        <v/>
      </c>
    </row>
    <row r="8">
      <c r="A8" s="15" t="inlineStr">
        <is>
          <t>Adulto</t>
        </is>
      </c>
      <c r="B8" s="15" t="inlineStr">
        <is>
          <t>Control</t>
        </is>
      </c>
      <c r="C8" s="15" t="inlineStr">
        <is>
          <t>d-SLR (equilátero)</t>
        </is>
      </c>
      <c r="D8" s="15" t="n">
        <v>7</v>
      </c>
      <c r="E8" s="15" t="inlineStr">
        <is>
          <t>2</t>
        </is>
      </c>
      <c r="F8" s="15" t="inlineStr">
        <is>
          <t>251219 D2 Ctrl-dic vasos</t>
        </is>
      </c>
      <c r="G8" s="15" t="inlineStr">
        <is>
          <t>SLR_Adulto_2024y2025.xlsx</t>
        </is>
      </c>
      <c r="H8" s="10">
        <f>IF(INDEX(' D-SLR'!$B$6:$AE$7,2,7)="","",INDEX(' D-SLR'!$B$6:$AE$7,2,7))</f>
        <v/>
      </c>
      <c r="I8" s="10">
        <f>IF(H8="","",2*H8-1)</f>
        <v/>
      </c>
    </row>
    <row r="9">
      <c r="A9" s="15" t="inlineStr">
        <is>
          <t>Adulto</t>
        </is>
      </c>
      <c r="B9" s="15" t="inlineStr">
        <is>
          <t>Control</t>
        </is>
      </c>
      <c r="C9" s="15" t="inlineStr">
        <is>
          <t>d-SLR (equilátero)</t>
        </is>
      </c>
      <c r="D9" s="15" t="n">
        <v>8</v>
      </c>
      <c r="E9" s="15" t="inlineStr">
        <is>
          <t>3</t>
        </is>
      </c>
      <c r="F9" s="15" t="inlineStr">
        <is>
          <t>251219 D2 Ctrl-dic vasos</t>
        </is>
      </c>
      <c r="G9" s="15" t="inlineStr">
        <is>
          <t>SLR_Adulto_2024y2025.xlsx</t>
        </is>
      </c>
      <c r="H9" s="10">
        <f>IF(INDEX(' D-SLR'!$B$6:$AE$7,2,8)="","",INDEX(' D-SLR'!$B$6:$AE$7,2,8))</f>
        <v/>
      </c>
      <c r="I9" s="10">
        <f>IF(H9="","",2*H9-1)</f>
        <v/>
      </c>
    </row>
    <row r="10">
      <c r="A10" s="15" t="inlineStr">
        <is>
          <t>Adulto</t>
        </is>
      </c>
      <c r="B10" s="15" t="inlineStr">
        <is>
          <t>Control</t>
        </is>
      </c>
      <c r="C10" s="15" t="inlineStr">
        <is>
          <t>d-SLR (equilátero)</t>
        </is>
      </c>
      <c r="D10" s="15" t="n">
        <v>9</v>
      </c>
      <c r="E10" s="15" t="inlineStr">
        <is>
          <t>4</t>
        </is>
      </c>
      <c r="F10" s="15" t="inlineStr">
        <is>
          <t>251223 D2 Ctrl-dic ranas</t>
        </is>
      </c>
      <c r="G10" s="15" t="inlineStr">
        <is>
          <t>SLR_Adulto_2024y2025.xlsx</t>
        </is>
      </c>
      <c r="H10" s="10">
        <f>IF(INDEX(' D-SLR'!$B$6:$AE$7,2,9)="","",INDEX(' D-SLR'!$B$6:$AE$7,2,9))</f>
        <v/>
      </c>
      <c r="I10" s="10">
        <f>IF(H10="","",2*H10-1)</f>
        <v/>
      </c>
    </row>
    <row r="11">
      <c r="A11" s="15" t="inlineStr">
        <is>
          <t>Adulto</t>
        </is>
      </c>
      <c r="B11" s="15" t="inlineStr">
        <is>
          <t>Control</t>
        </is>
      </c>
      <c r="C11" s="15" t="inlineStr">
        <is>
          <t>d-SLR (equilátero)</t>
        </is>
      </c>
      <c r="D11" s="15" t="n">
        <v>10</v>
      </c>
      <c r="E11" s="15" t="inlineStr">
        <is>
          <t>5</t>
        </is>
      </c>
      <c r="F11" s="15" t="inlineStr">
        <is>
          <t>251223 D2 Ctrl-dic ranas</t>
        </is>
      </c>
      <c r="G11" s="15" t="inlineStr">
        <is>
          <t>SLR_Adulto_2024y2025.xlsx</t>
        </is>
      </c>
      <c r="H11" s="10">
        <f>IF(INDEX(' D-SLR'!$B$6:$AE$7,2,10)="","",INDEX(' D-SLR'!$B$6:$AE$7,2,10))</f>
        <v/>
      </c>
      <c r="I11" s="10">
        <f>IF(H11="","",2*H11-1)</f>
        <v/>
      </c>
    </row>
    <row r="12">
      <c r="A12" s="15" t="inlineStr">
        <is>
          <t>Adulto</t>
        </is>
      </c>
      <c r="B12" s="15" t="inlineStr">
        <is>
          <t>Control</t>
        </is>
      </c>
      <c r="C12" s="15" t="inlineStr">
        <is>
          <t>s-SLR (isóceles)</t>
        </is>
      </c>
      <c r="D12" s="15" t="n">
        <v>1</v>
      </c>
      <c r="E12" s="15" t="inlineStr">
        <is>
          <t>con 6</t>
        </is>
      </c>
      <c r="F12" s="15" t="inlineStr">
        <is>
          <t>250509 D2 CtrlSac</t>
        </is>
      </c>
      <c r="G12" s="15" t="inlineStr">
        <is>
          <t>SLR_Adulto_2024y2025.xlsx</t>
        </is>
      </c>
      <c r="H12" s="10">
        <f>IF(INDEX('S SLR'!$B$6:$AE$7,2,1)="","",INDEX('S SLR'!$B$6:$AE$7,2,1))</f>
        <v/>
      </c>
      <c r="I12" s="10">
        <f>IF(H12="","",2*H12-1)</f>
        <v/>
      </c>
    </row>
    <row r="13">
      <c r="A13" s="15" t="inlineStr">
        <is>
          <t>Adulto</t>
        </is>
      </c>
      <c r="B13" s="15" t="inlineStr">
        <is>
          <t>Control</t>
        </is>
      </c>
      <c r="C13" s="15" t="inlineStr">
        <is>
          <t>s-SLR (isóceles)</t>
        </is>
      </c>
      <c r="D13" s="15" t="n">
        <v>2</v>
      </c>
      <c r="E13" s="15" t="inlineStr">
        <is>
          <t>con 7</t>
        </is>
      </c>
      <c r="F13" s="15" t="inlineStr">
        <is>
          <t>250509 D2 CtrlSac</t>
        </is>
      </c>
      <c r="G13" s="15" t="inlineStr">
        <is>
          <t>SLR_Adulto_2024y2025.xlsx</t>
        </is>
      </c>
      <c r="H13" s="10">
        <f>IF(INDEX('S SLR'!$B$6:$AE$7,2,2)="","",INDEX('S SLR'!$B$6:$AE$7,2,2))</f>
        <v/>
      </c>
      <c r="I13" s="10">
        <f>IF(H13="","",2*H13-1)</f>
        <v/>
      </c>
    </row>
    <row r="14">
      <c r="A14" s="15" t="inlineStr">
        <is>
          <t>Adulto</t>
        </is>
      </c>
      <c r="B14" s="15" t="inlineStr">
        <is>
          <t>Control</t>
        </is>
      </c>
      <c r="C14" s="15" t="inlineStr">
        <is>
          <t>s-SLR (isóceles)</t>
        </is>
      </c>
      <c r="D14" s="15" t="n">
        <v>3</v>
      </c>
      <c r="E14" s="15" t="inlineStr">
        <is>
          <t>con 8</t>
        </is>
      </c>
      <c r="F14" s="15" t="inlineStr">
        <is>
          <t>250509 D2 CtrlSac</t>
        </is>
      </c>
      <c r="G14" s="15" t="inlineStr">
        <is>
          <t>SLR_Adulto_2024y2025.xlsx</t>
        </is>
      </c>
      <c r="H14" s="10">
        <f>IF(INDEX('S SLR'!$B$6:$AE$7,2,3)="","",INDEX('S SLR'!$B$6:$AE$7,2,3))</f>
        <v/>
      </c>
      <c r="I14" s="10">
        <f>IF(H14="","",2*H14-1)</f>
        <v/>
      </c>
    </row>
    <row r="15">
      <c r="A15" s="15" t="inlineStr">
        <is>
          <t>Adulto</t>
        </is>
      </c>
      <c r="B15" s="15" t="inlineStr">
        <is>
          <t>Control</t>
        </is>
      </c>
      <c r="C15" s="15" t="inlineStr">
        <is>
          <t>s-SLR (isóceles)</t>
        </is>
      </c>
      <c r="D15" s="15" t="n">
        <v>4</v>
      </c>
      <c r="E15" s="15" t="inlineStr">
        <is>
          <t>con 9</t>
        </is>
      </c>
      <c r="F15" s="15" t="inlineStr">
        <is>
          <t>250509 D2 CtrlSac</t>
        </is>
      </c>
      <c r="G15" s="15" t="inlineStr">
        <is>
          <t>SLR_Adulto_2024y2025.xlsx</t>
        </is>
      </c>
      <c r="H15" s="10">
        <f>IF(INDEX('S SLR'!$B$6:$AE$7,2,4)="","",INDEX('S SLR'!$B$6:$AE$7,2,4))</f>
        <v/>
      </c>
      <c r="I15" s="10">
        <f>IF(H15="","",2*H15-1)</f>
        <v/>
      </c>
    </row>
    <row r="16">
      <c r="A16" s="15" t="inlineStr">
        <is>
          <t>Adulto</t>
        </is>
      </c>
      <c r="B16" s="15" t="inlineStr">
        <is>
          <t>Control</t>
        </is>
      </c>
      <c r="C16" s="15" t="inlineStr">
        <is>
          <t>s-SLR (isóceles)</t>
        </is>
      </c>
      <c r="D16" s="15" t="n">
        <v>5</v>
      </c>
      <c r="E16" s="15" t="inlineStr">
        <is>
          <t>con NADA</t>
        </is>
      </c>
      <c r="F16" s="15" t="inlineStr">
        <is>
          <t>250509 D2 CtrlSac</t>
        </is>
      </c>
      <c r="G16" s="15" t="inlineStr">
        <is>
          <t>SLR_Adulto_2024y2025.xlsx</t>
        </is>
      </c>
      <c r="H16" s="10">
        <f>IF(INDEX('S SLR'!$B$6:$AE$7,2,5)="","",INDEX('S SLR'!$B$6:$AE$7,2,5))</f>
        <v/>
      </c>
      <c r="I16" s="10">
        <f>IF(H16="","",2*H16-1)</f>
        <v/>
      </c>
    </row>
    <row r="17">
      <c r="A17" s="15" t="inlineStr">
        <is>
          <t>Adulto</t>
        </is>
      </c>
      <c r="B17" s="15" t="inlineStr">
        <is>
          <t>Control</t>
        </is>
      </c>
      <c r="C17" s="15" t="inlineStr">
        <is>
          <t>s-SLR (isóceles)</t>
        </is>
      </c>
      <c r="D17" s="15" t="n">
        <v>6</v>
      </c>
      <c r="E17" s="15" t="inlineStr">
        <is>
          <t>4</t>
        </is>
      </c>
      <c r="F17" s="15" t="inlineStr">
        <is>
          <t>251219 D2 Ctrl-dic vasos</t>
        </is>
      </c>
      <c r="G17" s="15" t="inlineStr">
        <is>
          <t>SLR_Adulto_2024y2025.xlsx</t>
        </is>
      </c>
      <c r="H17" s="10">
        <f>IF(INDEX('S SLR'!$B$6:$AE$7,2,6)="","",INDEX('S SLR'!$B$6:$AE$7,2,6))</f>
        <v/>
      </c>
      <c r="I17" s="10">
        <f>IF(H17="","",2*H17-1)</f>
        <v/>
      </c>
    </row>
    <row r="18">
      <c r="A18" s="15" t="inlineStr">
        <is>
          <t>Adulto</t>
        </is>
      </c>
      <c r="B18" s="15" t="inlineStr">
        <is>
          <t>Control</t>
        </is>
      </c>
      <c r="C18" s="15" t="inlineStr">
        <is>
          <t>s-SLR (isóceles)</t>
        </is>
      </c>
      <c r="D18" s="15" t="n">
        <v>7</v>
      </c>
      <c r="E18" s="15" t="inlineStr">
        <is>
          <t>5</t>
        </is>
      </c>
      <c r="F18" s="15" t="inlineStr">
        <is>
          <t>251219 D2 Ctrl-dic vasos</t>
        </is>
      </c>
      <c r="G18" s="15" t="inlineStr">
        <is>
          <t>SLR_Adulto_2024y2025.xlsx</t>
        </is>
      </c>
      <c r="H18" s="10">
        <f>IF(INDEX('S SLR'!$B$6:$AE$7,2,7)="","",INDEX('S SLR'!$B$6:$AE$7,2,7))</f>
        <v/>
      </c>
      <c r="I18" s="10">
        <f>IF(H18="","",2*H18-1)</f>
        <v/>
      </c>
    </row>
    <row r="19">
      <c r="A19" s="15" t="inlineStr">
        <is>
          <t>Adulto</t>
        </is>
      </c>
      <c r="B19" s="15" t="inlineStr">
        <is>
          <t>Control</t>
        </is>
      </c>
      <c r="C19" s="15" t="inlineStr">
        <is>
          <t>s-SLR (isóceles)</t>
        </is>
      </c>
      <c r="D19" s="15" t="n">
        <v>8</v>
      </c>
      <c r="E19" s="15" t="inlineStr">
        <is>
          <t>1</t>
        </is>
      </c>
      <c r="F19" s="15" t="inlineStr">
        <is>
          <t>251223 D2 Ctrl-dic ranas</t>
        </is>
      </c>
      <c r="G19" s="15" t="inlineStr">
        <is>
          <t>SLR_Adulto_2024y2025.xlsx</t>
        </is>
      </c>
      <c r="H19" s="10">
        <f>IF(INDEX('S SLR'!$B$6:$AE$7,2,8)="","",INDEX('S SLR'!$B$6:$AE$7,2,8))</f>
        <v/>
      </c>
      <c r="I19" s="10">
        <f>IF(H19="","",2*H19-1)</f>
        <v/>
      </c>
    </row>
    <row r="20">
      <c r="A20" s="15" t="inlineStr">
        <is>
          <t>Adulto</t>
        </is>
      </c>
      <c r="B20" s="15" t="inlineStr">
        <is>
          <t>Control</t>
        </is>
      </c>
      <c r="C20" s="15" t="inlineStr">
        <is>
          <t>s-SLR (isóceles)</t>
        </is>
      </c>
      <c r="D20" s="15" t="n">
        <v>9</v>
      </c>
      <c r="E20" s="15" t="inlineStr">
        <is>
          <t>2</t>
        </is>
      </c>
      <c r="F20" s="15" t="inlineStr">
        <is>
          <t>251223 D2 Ctrl-dic ranas</t>
        </is>
      </c>
      <c r="G20" s="15" t="inlineStr">
        <is>
          <t>SLR_Adulto_2024y2025.xlsx</t>
        </is>
      </c>
      <c r="H20" s="10">
        <f>IF(INDEX('S SLR'!$B$6:$AE$7,2,9)="","",INDEX('S SLR'!$B$6:$AE$7,2,9))</f>
        <v/>
      </c>
      <c r="I20" s="10">
        <f>IF(H20="","",2*H20-1)</f>
        <v/>
      </c>
    </row>
    <row r="21">
      <c r="A21" s="15" t="inlineStr">
        <is>
          <t>Adulto</t>
        </is>
      </c>
      <c r="B21" s="15" t="inlineStr">
        <is>
          <t>Control</t>
        </is>
      </c>
      <c r="C21" s="15" t="inlineStr">
        <is>
          <t>s-SLR (isóceles)</t>
        </is>
      </c>
      <c r="D21" s="15" t="n">
        <v>10</v>
      </c>
      <c r="E21" s="15" t="inlineStr">
        <is>
          <t>3</t>
        </is>
      </c>
      <c r="F21" s="15" t="inlineStr">
        <is>
          <t>251223 D2 Ctrl-dic ranas</t>
        </is>
      </c>
      <c r="G21" s="15" t="inlineStr">
        <is>
          <t>SLR_Adulto_2024y2025.xlsx</t>
        </is>
      </c>
      <c r="H21" s="10">
        <f>IF(INDEX('S SLR'!$B$6:$AE$7,2,10)="","",INDEX('S SLR'!$B$6:$AE$7,2,10))</f>
        <v/>
      </c>
      <c r="I21" s="10">
        <f>IF(H21="","",2*H21-1)</f>
        <v/>
      </c>
    </row>
    <row r="22">
      <c r="A22" s="15" t="inlineStr">
        <is>
          <t>Adulto</t>
        </is>
      </c>
      <c r="B22" s="15" t="inlineStr">
        <is>
          <t>Sacarosa</t>
        </is>
      </c>
      <c r="C22" s="15" t="inlineStr">
        <is>
          <t>d-SLR (equilátero)</t>
        </is>
      </c>
      <c r="D22" s="15" t="n">
        <v>1</v>
      </c>
      <c r="E22" s="15" t="inlineStr">
        <is>
          <t>sac1</t>
        </is>
      </c>
      <c r="F22" s="15" t="inlineStr">
        <is>
          <t>250509 D2 CtrlSac</t>
        </is>
      </c>
      <c r="G22" s="15" t="inlineStr">
        <is>
          <t>SLR_Adulto_2024y2025.xlsx</t>
        </is>
      </c>
      <c r="H22" s="10">
        <f>IF(INDEX(' D-SLR'!$B$6:$AE$7,2,11)="","",INDEX(' D-SLR'!$B$6:$AE$7,2,11))</f>
        <v/>
      </c>
      <c r="I22" s="10">
        <f>IF(H22="","",2*H22-1)</f>
        <v/>
      </c>
    </row>
    <row r="23">
      <c r="A23" s="15" t="inlineStr">
        <is>
          <t>Adulto</t>
        </is>
      </c>
      <c r="B23" s="15" t="inlineStr">
        <is>
          <t>Sacarosa</t>
        </is>
      </c>
      <c r="C23" s="15" t="inlineStr">
        <is>
          <t>d-SLR (equilátero)</t>
        </is>
      </c>
      <c r="D23" s="15" t="n">
        <v>2</v>
      </c>
      <c r="E23" s="15" t="inlineStr">
        <is>
          <t>sac2</t>
        </is>
      </c>
      <c r="F23" s="15" t="inlineStr">
        <is>
          <t>250509 D2 CtrlSac</t>
        </is>
      </c>
      <c r="G23" s="15" t="inlineStr">
        <is>
          <t>SLR_Adulto_2024y2025.xlsx</t>
        </is>
      </c>
      <c r="H23" s="10">
        <f>IF(INDEX(' D-SLR'!$B$6:$AE$7,2,12)="","",INDEX(' D-SLR'!$B$6:$AE$7,2,12))</f>
        <v/>
      </c>
      <c r="I23" s="10">
        <f>IF(H23="","",2*H23-1)</f>
        <v/>
      </c>
    </row>
    <row r="24">
      <c r="A24" s="15" t="inlineStr">
        <is>
          <t>Adulto</t>
        </is>
      </c>
      <c r="B24" s="15" t="inlineStr">
        <is>
          <t>Sacarosa</t>
        </is>
      </c>
      <c r="C24" s="15" t="inlineStr">
        <is>
          <t>d-SLR (equilátero)</t>
        </is>
      </c>
      <c r="D24" s="15" t="n">
        <v>3</v>
      </c>
      <c r="E24" s="15" t="inlineStr">
        <is>
          <t>sac 3</t>
        </is>
      </c>
      <c r="F24" s="15" t="inlineStr">
        <is>
          <t>250509 D2 CtrlSac</t>
        </is>
      </c>
      <c r="G24" s="15" t="inlineStr">
        <is>
          <t>SLR_Adulto_2024y2025.xlsx</t>
        </is>
      </c>
      <c r="H24" s="10">
        <f>IF(INDEX(' D-SLR'!$B$6:$AE$7,2,13)="","",INDEX(' D-SLR'!$B$6:$AE$7,2,13))</f>
        <v/>
      </c>
      <c r="I24" s="10">
        <f>IF(H24="","",2*H24-1)</f>
        <v/>
      </c>
    </row>
    <row r="25">
      <c r="A25" s="15" t="inlineStr">
        <is>
          <t>Adulto</t>
        </is>
      </c>
      <c r="B25" s="15" t="inlineStr">
        <is>
          <t>Sacarosa</t>
        </is>
      </c>
      <c r="C25" s="15" t="inlineStr">
        <is>
          <t>d-SLR (equilátero)</t>
        </is>
      </c>
      <c r="D25" s="15" t="n">
        <v>4</v>
      </c>
      <c r="E25" s="15" t="inlineStr">
        <is>
          <t>sac 4</t>
        </is>
      </c>
      <c r="F25" s="15" t="inlineStr">
        <is>
          <t>250509 D2 CtrlSac</t>
        </is>
      </c>
      <c r="G25" s="15" t="inlineStr">
        <is>
          <t>SLR_Adulto_2024y2025.xlsx</t>
        </is>
      </c>
      <c r="H25" s="10">
        <f>IF(INDEX(' D-SLR'!$B$6:$AE$7,2,14)="","",INDEX(' D-SLR'!$B$6:$AE$7,2,14))</f>
        <v/>
      </c>
      <c r="I25" s="10">
        <f>IF(H25="","",2*H25-1)</f>
        <v/>
      </c>
    </row>
    <row r="26">
      <c r="A26" s="15" t="inlineStr">
        <is>
          <t>Adulto</t>
        </is>
      </c>
      <c r="B26" s="15" t="inlineStr">
        <is>
          <t>Sacarosa</t>
        </is>
      </c>
      <c r="C26" s="15" t="inlineStr">
        <is>
          <t>d-SLR (equilátero)</t>
        </is>
      </c>
      <c r="D26" s="15" t="n">
        <v>5</v>
      </c>
      <c r="E26" s="15" t="inlineStr">
        <is>
          <t>sac 5</t>
        </is>
      </c>
      <c r="F26" s="15" t="inlineStr">
        <is>
          <t>250509 D2 CtrlSac</t>
        </is>
      </c>
      <c r="G26" s="15" t="inlineStr">
        <is>
          <t>SLR_Adulto_2024y2025.xlsx</t>
        </is>
      </c>
      <c r="H26" s="10">
        <f>IF(INDEX(' D-SLR'!$B$6:$AE$7,2,15)="","",INDEX(' D-SLR'!$B$6:$AE$7,2,15))</f>
        <v/>
      </c>
      <c r="I26" s="10">
        <f>IF(H26="","",2*H26-1)</f>
        <v/>
      </c>
    </row>
    <row r="27">
      <c r="A27" s="15" t="inlineStr">
        <is>
          <t>Adulto</t>
        </is>
      </c>
      <c r="B27" s="15" t="inlineStr">
        <is>
          <t>Sacarosa</t>
        </is>
      </c>
      <c r="C27" s="15" t="inlineStr">
        <is>
          <t>d-SLR (equilátero)</t>
        </is>
      </c>
      <c r="D27" s="15" t="n">
        <v>6</v>
      </c>
      <c r="E27" s="15" t="inlineStr">
        <is>
          <t>sac 1</t>
        </is>
      </c>
      <c r="F27" s="15" t="inlineStr">
        <is>
          <t>260807 D2 SacStev vasos</t>
        </is>
      </c>
      <c r="G27" s="15" t="inlineStr">
        <is>
          <t>SLR_Adulto_2026.xlsx</t>
        </is>
      </c>
      <c r="H27" s="10">
        <f>IF(INDEX(' D-SLR'!$B$6:$AE$7,2,16)="","",INDEX(' D-SLR'!$B$6:$AE$7,2,16))</f>
        <v/>
      </c>
      <c r="I27" s="10">
        <f>IF(H27="","",2*H27-1)</f>
        <v/>
      </c>
    </row>
    <row r="28">
      <c r="A28" s="15" t="inlineStr">
        <is>
          <t>Adulto</t>
        </is>
      </c>
      <c r="B28" s="15" t="inlineStr">
        <is>
          <t>Sacarosa</t>
        </is>
      </c>
      <c r="C28" s="15" t="inlineStr">
        <is>
          <t>d-SLR (equilátero)</t>
        </is>
      </c>
      <c r="D28" s="15" t="n">
        <v>7</v>
      </c>
      <c r="E28" s="15" t="inlineStr">
        <is>
          <t>sac 2</t>
        </is>
      </c>
      <c r="F28" s="15" t="inlineStr">
        <is>
          <t>260807 D2 SacStev vasos</t>
        </is>
      </c>
      <c r="G28" s="15" t="inlineStr">
        <is>
          <t>SLR_Adulto_2026.xlsx</t>
        </is>
      </c>
      <c r="H28" s="10">
        <f>IF(INDEX(' D-SLR'!$B$6:$AE$7,2,17)="","",INDEX(' D-SLR'!$B$6:$AE$7,2,17))</f>
        <v/>
      </c>
      <c r="I28" s="10">
        <f>IF(H28="","",2*H28-1)</f>
        <v/>
      </c>
    </row>
    <row r="29">
      <c r="A29" s="15" t="inlineStr">
        <is>
          <t>Adulto</t>
        </is>
      </c>
      <c r="B29" s="15" t="inlineStr">
        <is>
          <t>Sacarosa</t>
        </is>
      </c>
      <c r="C29" s="15" t="inlineStr">
        <is>
          <t>d-SLR (equilátero)</t>
        </is>
      </c>
      <c r="D29" s="15" t="n">
        <v>8</v>
      </c>
      <c r="E29" s="15" t="inlineStr">
        <is>
          <t>sac 3</t>
        </is>
      </c>
      <c r="F29" s="15" t="inlineStr">
        <is>
          <t>260807 D2 SacStev vasos</t>
        </is>
      </c>
      <c r="G29" s="15" t="inlineStr">
        <is>
          <t>SLR_Adulto_2026.xlsx</t>
        </is>
      </c>
      <c r="H29" s="10">
        <f>IF(INDEX(' D-SLR'!$B$6:$AE$7,2,18)="","",INDEX(' D-SLR'!$B$6:$AE$7,2,18))</f>
        <v/>
      </c>
      <c r="I29" s="10">
        <f>IF(H29="","",2*H29-1)</f>
        <v/>
      </c>
    </row>
    <row r="30">
      <c r="A30" s="15" t="inlineStr">
        <is>
          <t>Adulto</t>
        </is>
      </c>
      <c r="B30" s="15" t="inlineStr">
        <is>
          <t>Sacarosa</t>
        </is>
      </c>
      <c r="C30" s="15" t="inlineStr">
        <is>
          <t>d-SLR (equilátero)</t>
        </is>
      </c>
      <c r="D30" s="15" t="n">
        <v>9</v>
      </c>
      <c r="E30" s="15" t="inlineStr">
        <is>
          <t>4</t>
        </is>
      </c>
      <c r="F30" s="15" t="inlineStr">
        <is>
          <t>260811 D2 SacStev ranas</t>
        </is>
      </c>
      <c r="G30" s="15" t="inlineStr">
        <is>
          <t>SLR_Adulto_2026.xlsx</t>
        </is>
      </c>
      <c r="H30" s="10">
        <f>IF(INDEX(' D-SLR'!$B$6:$AE$7,2,19)="","",INDEX(' D-SLR'!$B$6:$AE$7,2,19))</f>
        <v/>
      </c>
      <c r="I30" s="10">
        <f>IF(H30="","",2*H30-1)</f>
        <v/>
      </c>
    </row>
    <row r="31">
      <c r="A31" s="15" t="inlineStr">
        <is>
          <t>Adulto</t>
        </is>
      </c>
      <c r="B31" s="15" t="inlineStr">
        <is>
          <t>Sacarosa</t>
        </is>
      </c>
      <c r="C31" s="15" t="inlineStr">
        <is>
          <t>d-SLR (equilátero)</t>
        </is>
      </c>
      <c r="D31" s="15" t="n">
        <v>10</v>
      </c>
      <c r="E31" s="15" t="inlineStr">
        <is>
          <t>5</t>
        </is>
      </c>
      <c r="F31" s="15" t="inlineStr">
        <is>
          <t>260811 D2 SacStev ranas</t>
        </is>
      </c>
      <c r="G31" s="15" t="inlineStr">
        <is>
          <t>SLR_Adulto_2026.xlsx</t>
        </is>
      </c>
      <c r="H31" s="10">
        <f>IF(INDEX(' D-SLR'!$B$6:$AE$7,2,20)="","",INDEX(' D-SLR'!$B$6:$AE$7,2,20))</f>
        <v/>
      </c>
      <c r="I31" s="10">
        <f>IF(H31="","",2*H31-1)</f>
        <v/>
      </c>
    </row>
    <row r="32">
      <c r="A32" s="15" t="inlineStr">
        <is>
          <t>Adulto</t>
        </is>
      </c>
      <c r="B32" s="15" t="inlineStr">
        <is>
          <t>Sacarosa</t>
        </is>
      </c>
      <c r="C32" s="15" t="inlineStr">
        <is>
          <t>s-SLR (isóceles)</t>
        </is>
      </c>
      <c r="D32" s="15" t="n">
        <v>1</v>
      </c>
      <c r="E32" s="15" t="inlineStr">
        <is>
          <t>sac 6</t>
        </is>
      </c>
      <c r="F32" s="15" t="inlineStr">
        <is>
          <t>250509 D2 CtrlSac</t>
        </is>
      </c>
      <c r="G32" s="15" t="inlineStr">
        <is>
          <t>SLR_Adulto_2024y2025.xlsx</t>
        </is>
      </c>
      <c r="H32" s="10">
        <f>IF(INDEX('S SLR'!$B$6:$AE$7,2,11)="","",INDEX('S SLR'!$B$6:$AE$7,2,11))</f>
        <v/>
      </c>
      <c r="I32" s="10">
        <f>IF(H32="","",2*H32-1)</f>
        <v/>
      </c>
    </row>
    <row r="33">
      <c r="A33" s="15" t="inlineStr">
        <is>
          <t>Adulto</t>
        </is>
      </c>
      <c r="B33" s="15" t="inlineStr">
        <is>
          <t>Sacarosa</t>
        </is>
      </c>
      <c r="C33" s="15" t="inlineStr">
        <is>
          <t>s-SLR (isóceles)</t>
        </is>
      </c>
      <c r="D33" s="15" t="n">
        <v>2</v>
      </c>
      <c r="E33" s="15" t="inlineStr">
        <is>
          <t>sac7</t>
        </is>
      </c>
      <c r="F33" s="15" t="inlineStr">
        <is>
          <t>250509 D2 CtrlSac</t>
        </is>
      </c>
      <c r="G33" s="15" t="inlineStr">
        <is>
          <t>SLR_Adulto_2024y2025.xlsx</t>
        </is>
      </c>
      <c r="H33" s="10">
        <f>IF(INDEX('S SLR'!$B$6:$AE$7,2,12)="","",INDEX('S SLR'!$B$6:$AE$7,2,12))</f>
        <v/>
      </c>
      <c r="I33" s="10">
        <f>IF(H33="","",2*H33-1)</f>
        <v/>
      </c>
    </row>
    <row r="34">
      <c r="A34" s="15" t="inlineStr">
        <is>
          <t>Adulto</t>
        </is>
      </c>
      <c r="B34" s="15" t="inlineStr">
        <is>
          <t>Sacarosa</t>
        </is>
      </c>
      <c r="C34" s="15" t="inlineStr">
        <is>
          <t>s-SLR (isóceles)</t>
        </is>
      </c>
      <c r="D34" s="15" t="n">
        <v>3</v>
      </c>
      <c r="E34" s="15" t="inlineStr">
        <is>
          <t>sac8</t>
        </is>
      </c>
      <c r="F34" s="15" t="inlineStr">
        <is>
          <t>250509 D2 CtrlSac</t>
        </is>
      </c>
      <c r="G34" s="15" t="inlineStr">
        <is>
          <t>SLR_Adulto_2024y2025.xlsx</t>
        </is>
      </c>
      <c r="H34" s="10">
        <f>IF(INDEX('S SLR'!$B$6:$AE$7,2,13)="","",INDEX('S SLR'!$B$6:$AE$7,2,13))</f>
        <v/>
      </c>
      <c r="I34" s="10">
        <f>IF(H34="","",2*H34-1)</f>
        <v/>
      </c>
    </row>
    <row r="35">
      <c r="A35" s="15" t="inlineStr">
        <is>
          <t>Adulto</t>
        </is>
      </c>
      <c r="B35" s="15" t="inlineStr">
        <is>
          <t>Sacarosa</t>
        </is>
      </c>
      <c r="C35" s="15" t="inlineStr">
        <is>
          <t>s-SLR (isóceles)</t>
        </is>
      </c>
      <c r="D35" s="15" t="n">
        <v>4</v>
      </c>
      <c r="E35" s="15" t="inlineStr">
        <is>
          <t>sac 9</t>
        </is>
      </c>
      <c r="F35" s="15" t="inlineStr">
        <is>
          <t>250509 D2 CtrlSac</t>
        </is>
      </c>
      <c r="G35" s="15" t="inlineStr">
        <is>
          <t>SLR_Adulto_2024y2025.xlsx</t>
        </is>
      </c>
      <c r="H35" s="10">
        <f>IF(INDEX('S SLR'!$B$6:$AE$7,2,14)="","",INDEX('S SLR'!$B$6:$AE$7,2,14))</f>
        <v/>
      </c>
      <c r="I35" s="10">
        <f>IF(H35="","",2*H35-1)</f>
        <v/>
      </c>
    </row>
    <row r="36">
      <c r="A36" s="15" t="inlineStr">
        <is>
          <t>Adulto</t>
        </is>
      </c>
      <c r="B36" s="15" t="inlineStr">
        <is>
          <t>Sacarosa</t>
        </is>
      </c>
      <c r="C36" s="15" t="inlineStr">
        <is>
          <t>s-SLR (isóceles)</t>
        </is>
      </c>
      <c r="D36" s="15" t="n">
        <v>5</v>
      </c>
      <c r="E36" s="15" t="inlineStr">
        <is>
          <t>sac nada</t>
        </is>
      </c>
      <c r="F36" s="15" t="inlineStr">
        <is>
          <t>250509 D2 CtrlSac</t>
        </is>
      </c>
      <c r="G36" s="15" t="inlineStr">
        <is>
          <t>SLR_Adulto_2024y2025.xlsx</t>
        </is>
      </c>
      <c r="H36" s="10">
        <f>IF(INDEX('S SLR'!$B$6:$AE$7,2,15)="","",INDEX('S SLR'!$B$6:$AE$7,2,15))</f>
        <v/>
      </c>
      <c r="I36" s="10">
        <f>IF(H36="","",2*H36-1)</f>
        <v/>
      </c>
    </row>
    <row r="37">
      <c r="A37" s="15" t="inlineStr">
        <is>
          <t>Adulto</t>
        </is>
      </c>
      <c r="B37" s="15" t="inlineStr">
        <is>
          <t>Sacarosa</t>
        </is>
      </c>
      <c r="C37" s="15" t="inlineStr">
        <is>
          <t>s-SLR (isóceles)</t>
        </is>
      </c>
      <c r="D37" s="15" t="n">
        <v>6</v>
      </c>
      <c r="E37" s="15" t="inlineStr">
        <is>
          <t>sac 4</t>
        </is>
      </c>
      <c r="F37" s="15" t="inlineStr">
        <is>
          <t>260807 D2 SacStev vasos</t>
        </is>
      </c>
      <c r="G37" s="15" t="inlineStr">
        <is>
          <t>SLR_Adulto_2026.xlsx</t>
        </is>
      </c>
      <c r="H37" s="10">
        <f>IF(INDEX('S SLR'!$B$6:$AE$7,2,16)="","",INDEX('S SLR'!$B$6:$AE$7,2,16))</f>
        <v/>
      </c>
      <c r="I37" s="10">
        <f>IF(H37="","",2*H37-1)</f>
        <v/>
      </c>
    </row>
    <row r="38">
      <c r="A38" s="15" t="inlineStr">
        <is>
          <t>Adulto</t>
        </is>
      </c>
      <c r="B38" s="15" t="inlineStr">
        <is>
          <t>Sacarosa</t>
        </is>
      </c>
      <c r="C38" s="15" t="inlineStr">
        <is>
          <t>s-SLR (isóceles)</t>
        </is>
      </c>
      <c r="D38" s="15" t="n">
        <v>7</v>
      </c>
      <c r="E38" s="15" t="inlineStr">
        <is>
          <t>sac 5</t>
        </is>
      </c>
      <c r="F38" s="15" t="inlineStr">
        <is>
          <t>260807 D2 SacStev vasos</t>
        </is>
      </c>
      <c r="G38" s="15" t="inlineStr">
        <is>
          <t>SLR_Adulto_2026.xlsx</t>
        </is>
      </c>
      <c r="H38" s="10">
        <f>IF(INDEX('S SLR'!$B$6:$AE$7,2,17)="","",INDEX('S SLR'!$B$6:$AE$7,2,17))</f>
        <v/>
      </c>
      <c r="I38" s="10">
        <f>IF(H38="","",2*H38-1)</f>
        <v/>
      </c>
    </row>
    <row r="39">
      <c r="A39" s="15" t="inlineStr">
        <is>
          <t>Adulto</t>
        </is>
      </c>
      <c r="B39" s="15" t="inlineStr">
        <is>
          <t>Sacarosa</t>
        </is>
      </c>
      <c r="C39" s="15" t="inlineStr">
        <is>
          <t>s-SLR (isóceles)</t>
        </is>
      </c>
      <c r="D39" s="15" t="n">
        <v>8</v>
      </c>
      <c r="E39" s="15" t="inlineStr">
        <is>
          <t>1</t>
        </is>
      </c>
      <c r="F39" s="15" t="inlineStr">
        <is>
          <t>260811 D2 SacStev ranas</t>
        </is>
      </c>
      <c r="G39" s="15" t="inlineStr">
        <is>
          <t>SLR_Adulto_2026.xlsx</t>
        </is>
      </c>
      <c r="H39" s="10">
        <f>IF(INDEX('S SLR'!$B$6:$AE$7,2,18)="","",INDEX('S SLR'!$B$6:$AE$7,2,18))</f>
        <v/>
      </c>
      <c r="I39" s="10">
        <f>IF(H39="","",2*H39-1)</f>
        <v/>
      </c>
    </row>
    <row r="40">
      <c r="A40" s="15" t="inlineStr">
        <is>
          <t>Adulto</t>
        </is>
      </c>
      <c r="B40" s="15" t="inlineStr">
        <is>
          <t>Sacarosa</t>
        </is>
      </c>
      <c r="C40" s="15" t="inlineStr">
        <is>
          <t>s-SLR (isóceles)</t>
        </is>
      </c>
      <c r="D40" s="15" t="n">
        <v>9</v>
      </c>
      <c r="E40" s="15" t="inlineStr">
        <is>
          <t>2</t>
        </is>
      </c>
      <c r="F40" s="15" t="inlineStr">
        <is>
          <t>260811 D2 SacStev ranas</t>
        </is>
      </c>
      <c r="G40" s="15" t="inlineStr">
        <is>
          <t>SLR_Adulto_2026.xlsx</t>
        </is>
      </c>
      <c r="H40" s="10">
        <f>IF(INDEX('S SLR'!$B$6:$AE$7,2,19)="","",INDEX('S SLR'!$B$6:$AE$7,2,19))</f>
        <v/>
      </c>
      <c r="I40" s="10">
        <f>IF(H40="","",2*H40-1)</f>
        <v/>
      </c>
    </row>
    <row r="41">
      <c r="A41" s="15" t="inlineStr">
        <is>
          <t>Adulto</t>
        </is>
      </c>
      <c r="B41" s="15" t="inlineStr">
        <is>
          <t>Sacarosa</t>
        </is>
      </c>
      <c r="C41" s="15" t="inlineStr">
        <is>
          <t>s-SLR (isóceles)</t>
        </is>
      </c>
      <c r="D41" s="15" t="n">
        <v>10</v>
      </c>
      <c r="E41" s="15" t="inlineStr">
        <is>
          <t>3</t>
        </is>
      </c>
      <c r="F41" s="15" t="inlineStr">
        <is>
          <t>260811 D2 SacStev ranas</t>
        </is>
      </c>
      <c r="G41" s="15" t="inlineStr">
        <is>
          <t>SLR_Adulto_2026.xlsx</t>
        </is>
      </c>
      <c r="H41" s="10">
        <f>IF(INDEX('S SLR'!$B$6:$AE$7,2,20)="","",INDEX('S SLR'!$B$6:$AE$7,2,20))</f>
        <v/>
      </c>
      <c r="I41" s="10">
        <f>IF(H41="","",2*H41-1)</f>
        <v/>
      </c>
    </row>
    <row r="42">
      <c r="A42" s="15" t="inlineStr">
        <is>
          <t>Adulto</t>
        </is>
      </c>
      <c r="B42" s="15" t="inlineStr">
        <is>
          <t>Stevia</t>
        </is>
      </c>
      <c r="C42" s="15" t="inlineStr">
        <is>
          <t>d-SLR (equilátero)</t>
        </is>
      </c>
      <c r="D42" s="15" t="n">
        <v>1</v>
      </c>
      <c r="E42" s="15" t="inlineStr">
        <is>
          <t>1</t>
        </is>
      </c>
      <c r="F42" s="15" t="inlineStr">
        <is>
          <t>240426 D2 Stevia</t>
        </is>
      </c>
      <c r="G42" s="15" t="inlineStr">
        <is>
          <t>SLR_Adulto_2024y2025.xlsx</t>
        </is>
      </c>
      <c r="H42" s="10">
        <f>IF(INDEX(' D-SLR'!$B$6:$AE$7,2,21)="","",INDEX(' D-SLR'!$B$6:$AE$7,2,21))</f>
        <v/>
      </c>
      <c r="I42" s="10">
        <f>IF(H42="","",2*H42-1)</f>
        <v/>
      </c>
    </row>
    <row r="43">
      <c r="A43" s="15" t="inlineStr">
        <is>
          <t>Adulto</t>
        </is>
      </c>
      <c r="B43" s="15" t="inlineStr">
        <is>
          <t>Stevia</t>
        </is>
      </c>
      <c r="C43" s="15" t="inlineStr">
        <is>
          <t>d-SLR (equilátero)</t>
        </is>
      </c>
      <c r="D43" s="15" t="n">
        <v>2</v>
      </c>
      <c r="E43" s="15" t="inlineStr">
        <is>
          <t>2</t>
        </is>
      </c>
      <c r="F43" s="15" t="inlineStr">
        <is>
          <t>240426 D2 Stevia</t>
        </is>
      </c>
      <c r="G43" s="15" t="inlineStr">
        <is>
          <t>SLR_Adulto_2024y2025.xlsx</t>
        </is>
      </c>
      <c r="H43" s="10">
        <f>IF(INDEX(' D-SLR'!$B$6:$AE$7,2,22)="","",INDEX(' D-SLR'!$B$6:$AE$7,2,22))</f>
        <v/>
      </c>
      <c r="I43" s="10">
        <f>IF(H43="","",2*H43-1)</f>
        <v/>
      </c>
    </row>
    <row r="44">
      <c r="A44" s="15" t="inlineStr">
        <is>
          <t>Adulto</t>
        </is>
      </c>
      <c r="B44" s="15" t="inlineStr">
        <is>
          <t>Stevia</t>
        </is>
      </c>
      <c r="C44" s="15" t="inlineStr">
        <is>
          <t>d-SLR (equilátero)</t>
        </is>
      </c>
      <c r="D44" s="15" t="n">
        <v>3</v>
      </c>
      <c r="E44" s="15" t="inlineStr">
        <is>
          <t>3</t>
        </is>
      </c>
      <c r="F44" s="15" t="inlineStr">
        <is>
          <t>240426 D2 Stevia</t>
        </is>
      </c>
      <c r="G44" s="15" t="inlineStr">
        <is>
          <t>SLR_Adulto_2024y2025.xlsx</t>
        </is>
      </c>
      <c r="H44" s="10">
        <f>IF(INDEX(' D-SLR'!$B$6:$AE$7,2,23)="","",INDEX(' D-SLR'!$B$6:$AE$7,2,23))</f>
        <v/>
      </c>
      <c r="I44" s="10">
        <f>IF(H44="","",2*H44-1)</f>
        <v/>
      </c>
    </row>
    <row r="45">
      <c r="A45" s="15" t="inlineStr">
        <is>
          <t>Adulto</t>
        </is>
      </c>
      <c r="B45" s="15" t="inlineStr">
        <is>
          <t>Stevia</t>
        </is>
      </c>
      <c r="C45" s="15" t="inlineStr">
        <is>
          <t>d-SLR (equilátero)</t>
        </is>
      </c>
      <c r="D45" s="15" t="n">
        <v>4</v>
      </c>
      <c r="E45" s="15" t="inlineStr">
        <is>
          <t>4</t>
        </is>
      </c>
      <c r="F45" s="15" t="inlineStr">
        <is>
          <t>240426 D2 Stevia</t>
        </is>
      </c>
      <c r="G45" s="15" t="inlineStr">
        <is>
          <t>SLR_Adulto_2024y2025.xlsx</t>
        </is>
      </c>
      <c r="H45" s="10">
        <f>IF(INDEX(' D-SLR'!$B$6:$AE$7,2,24)="","",INDEX(' D-SLR'!$B$6:$AE$7,2,24))</f>
        <v/>
      </c>
      <c r="I45" s="10">
        <f>IF(H45="","",2*H45-1)</f>
        <v/>
      </c>
    </row>
    <row r="46">
      <c r="A46" s="15" t="inlineStr">
        <is>
          <t>Adulto</t>
        </is>
      </c>
      <c r="B46" s="15" t="inlineStr">
        <is>
          <t>Stevia</t>
        </is>
      </c>
      <c r="C46" s="15" t="inlineStr">
        <is>
          <t>d-SLR (equilátero)</t>
        </is>
      </c>
      <c r="D46" s="15" t="n">
        <v>5</v>
      </c>
      <c r="E46" s="15" t="inlineStr">
        <is>
          <t>5</t>
        </is>
      </c>
      <c r="F46" s="15" t="inlineStr">
        <is>
          <t>240426 D2 Stevia</t>
        </is>
      </c>
      <c r="G46" s="15" t="inlineStr">
        <is>
          <t>SLR_Adulto_2024y2025.xlsx</t>
        </is>
      </c>
      <c r="H46" s="10">
        <f>IF(INDEX(' D-SLR'!$B$6:$AE$7,2,25)="","",INDEX(' D-SLR'!$B$6:$AE$7,2,25))</f>
        <v/>
      </c>
      <c r="I46" s="10">
        <f>IF(H46="","",2*H46-1)</f>
        <v/>
      </c>
    </row>
    <row r="47">
      <c r="A47" s="15" t="inlineStr">
        <is>
          <t>Adulto</t>
        </is>
      </c>
      <c r="B47" s="15" t="inlineStr">
        <is>
          <t>Stevia</t>
        </is>
      </c>
      <c r="C47" s="15" t="inlineStr">
        <is>
          <t>d-SLR (equilátero)</t>
        </is>
      </c>
      <c r="D47" s="15" t="n">
        <v>6</v>
      </c>
      <c r="E47" s="15" t="inlineStr">
        <is>
          <t>stevia 1</t>
        </is>
      </c>
      <c r="F47" s="15" t="inlineStr">
        <is>
          <t>260807 D2 SacStev vasos</t>
        </is>
      </c>
      <c r="G47" s="15" t="inlineStr">
        <is>
          <t>SLR_Adulto_2026.xlsx</t>
        </is>
      </c>
      <c r="H47" s="10">
        <f>IF(INDEX(' D-SLR'!$B$6:$AE$7,2,26)="","",INDEX(' D-SLR'!$B$6:$AE$7,2,26))</f>
        <v/>
      </c>
      <c r="I47" s="10">
        <f>IF(H47="","",2*H47-1)</f>
        <v/>
      </c>
    </row>
    <row r="48">
      <c r="A48" s="15" t="inlineStr">
        <is>
          <t>Adulto</t>
        </is>
      </c>
      <c r="B48" s="15" t="inlineStr">
        <is>
          <t>Stevia</t>
        </is>
      </c>
      <c r="C48" s="15" t="inlineStr">
        <is>
          <t>d-SLR (equilátero)</t>
        </is>
      </c>
      <c r="D48" s="15" t="n">
        <v>7</v>
      </c>
      <c r="E48" s="15" t="inlineStr">
        <is>
          <t>stevia 2</t>
        </is>
      </c>
      <c r="F48" s="15" t="inlineStr">
        <is>
          <t>260807 D2 SacStev vasos</t>
        </is>
      </c>
      <c r="G48" s="15" t="inlineStr">
        <is>
          <t>SLR_Adulto_2026.xlsx</t>
        </is>
      </c>
      <c r="H48" s="10">
        <f>IF(INDEX(' D-SLR'!$B$6:$AE$7,2,27)="","",INDEX(' D-SLR'!$B$6:$AE$7,2,27))</f>
        <v/>
      </c>
      <c r="I48" s="10">
        <f>IF(H48="","",2*H48-1)</f>
        <v/>
      </c>
    </row>
    <row r="49">
      <c r="A49" s="15" t="inlineStr">
        <is>
          <t>Adulto</t>
        </is>
      </c>
      <c r="B49" s="15" t="inlineStr">
        <is>
          <t>Stevia</t>
        </is>
      </c>
      <c r="C49" s="15" t="inlineStr">
        <is>
          <t>d-SLR (equilátero)</t>
        </is>
      </c>
      <c r="D49" s="15" t="n">
        <v>8</v>
      </c>
      <c r="E49" s="15" t="inlineStr">
        <is>
          <t>stevia 3</t>
        </is>
      </c>
      <c r="F49" s="15" t="inlineStr">
        <is>
          <t>260807 D2 SacStev vasos</t>
        </is>
      </c>
      <c r="G49" s="15" t="inlineStr">
        <is>
          <t>SLR_Adulto_2026.xlsx</t>
        </is>
      </c>
      <c r="H49" s="10">
        <f>IF(INDEX(' D-SLR'!$B$6:$AE$7,2,28)="","",INDEX(' D-SLR'!$B$6:$AE$7,2,28))</f>
        <v/>
      </c>
      <c r="I49" s="10">
        <f>IF(H49="","",2*H49-1)</f>
        <v/>
      </c>
    </row>
    <row r="50">
      <c r="A50" s="15" t="inlineStr">
        <is>
          <t>Adulto</t>
        </is>
      </c>
      <c r="B50" s="15" t="inlineStr">
        <is>
          <t>Stevia</t>
        </is>
      </c>
      <c r="C50" s="15" t="inlineStr">
        <is>
          <t>d-SLR (equilátero)</t>
        </is>
      </c>
      <c r="D50" s="15" t="n">
        <v>9</v>
      </c>
      <c r="E50" s="15" t="inlineStr">
        <is>
          <t>9</t>
        </is>
      </c>
      <c r="F50" s="15" t="inlineStr">
        <is>
          <t>260811 D2 SacStev ranas</t>
        </is>
      </c>
      <c r="G50" s="15" t="inlineStr">
        <is>
          <t>SLR_Adulto_2026.xlsx</t>
        </is>
      </c>
      <c r="H50" s="10">
        <f>IF(INDEX(' D-SLR'!$B$6:$AE$7,2,29)="","",INDEX(' D-SLR'!$B$6:$AE$7,2,29))</f>
        <v/>
      </c>
      <c r="I50" s="10">
        <f>IF(H50="","",2*H50-1)</f>
        <v/>
      </c>
    </row>
    <row r="51">
      <c r="A51" s="15" t="inlineStr">
        <is>
          <t>Adulto</t>
        </is>
      </c>
      <c r="B51" s="15" t="inlineStr">
        <is>
          <t>Stevia</t>
        </is>
      </c>
      <c r="C51" s="15" t="inlineStr">
        <is>
          <t>d-SLR (equilátero)</t>
        </is>
      </c>
      <c r="D51" s="15" t="n">
        <v>10</v>
      </c>
      <c r="E51" s="15" t="inlineStr">
        <is>
          <t>10</t>
        </is>
      </c>
      <c r="F51" s="15" t="inlineStr">
        <is>
          <t>260811 D2 SacStev ranas</t>
        </is>
      </c>
      <c r="G51" s="15" t="inlineStr">
        <is>
          <t>SLR_Adulto_2026.xlsx</t>
        </is>
      </c>
      <c r="H51" s="10">
        <f>IF(INDEX(' D-SLR'!$B$6:$AE$7,2,30)="","",INDEX(' D-SLR'!$B$6:$AE$7,2,30))</f>
        <v/>
      </c>
      <c r="I51" s="10">
        <f>IF(H51="","",2*H51-1)</f>
        <v/>
      </c>
    </row>
    <row r="52">
      <c r="A52" s="15" t="inlineStr">
        <is>
          <t>Adulto</t>
        </is>
      </c>
      <c r="B52" s="15" t="inlineStr">
        <is>
          <t>Stevia</t>
        </is>
      </c>
      <c r="C52" s="15" t="inlineStr">
        <is>
          <t>s-SLR (isóceles)</t>
        </is>
      </c>
      <c r="D52" s="15" t="n">
        <v>1</v>
      </c>
      <c r="E52" s="15" t="inlineStr">
        <is>
          <t>6</t>
        </is>
      </c>
      <c r="F52" s="15" t="inlineStr">
        <is>
          <t>240426 D2 Stevia</t>
        </is>
      </c>
      <c r="G52" s="15" t="inlineStr">
        <is>
          <t>SLR_Adulto_2024y2025.xlsx</t>
        </is>
      </c>
      <c r="H52" s="10">
        <f>IF(INDEX('S SLR'!$B$6:$AE$7,2,21)="","",INDEX('S SLR'!$B$6:$AE$7,2,21))</f>
        <v/>
      </c>
      <c r="I52" s="10">
        <f>IF(H52="","",2*H52-1)</f>
        <v/>
      </c>
    </row>
    <row r="53">
      <c r="A53" s="15" t="inlineStr">
        <is>
          <t>Adulto</t>
        </is>
      </c>
      <c r="B53" s="15" t="inlineStr">
        <is>
          <t>Stevia</t>
        </is>
      </c>
      <c r="C53" s="15" t="inlineStr">
        <is>
          <t>s-SLR (isóceles)</t>
        </is>
      </c>
      <c r="D53" s="15" t="n">
        <v>2</v>
      </c>
      <c r="E53" s="15" t="inlineStr">
        <is>
          <t>7</t>
        </is>
      </c>
      <c r="F53" s="15" t="inlineStr">
        <is>
          <t>240426 D2 Stevia</t>
        </is>
      </c>
      <c r="G53" s="15" t="inlineStr">
        <is>
          <t>SLR_Adulto_2024y2025.xlsx</t>
        </is>
      </c>
      <c r="H53" s="10">
        <f>IF(INDEX('S SLR'!$B$6:$AE$7,2,22)="","",INDEX('S SLR'!$B$6:$AE$7,2,22))</f>
        <v/>
      </c>
      <c r="I53" s="10">
        <f>IF(H53="","",2*H53-1)</f>
        <v/>
      </c>
    </row>
    <row r="54">
      <c r="A54" s="15" t="inlineStr">
        <is>
          <t>Adulto</t>
        </is>
      </c>
      <c r="B54" s="15" t="inlineStr">
        <is>
          <t>Stevia</t>
        </is>
      </c>
      <c r="C54" s="15" t="inlineStr">
        <is>
          <t>s-SLR (isóceles)</t>
        </is>
      </c>
      <c r="D54" s="15" t="n">
        <v>3</v>
      </c>
      <c r="E54" s="15" t="inlineStr">
        <is>
          <t>8</t>
        </is>
      </c>
      <c r="F54" s="15" t="inlineStr">
        <is>
          <t>240426 D2 Stevia</t>
        </is>
      </c>
      <c r="G54" s="15" t="inlineStr">
        <is>
          <t>SLR_Adulto_2024y2025.xlsx</t>
        </is>
      </c>
      <c r="H54" s="10">
        <f>IF(INDEX('S SLR'!$B$6:$AE$7,2,23)="","",INDEX('S SLR'!$B$6:$AE$7,2,23))</f>
        <v/>
      </c>
      <c r="I54" s="10">
        <f>IF(H54="","",2*H54-1)</f>
        <v/>
      </c>
    </row>
    <row r="55">
      <c r="A55" s="15" t="inlineStr">
        <is>
          <t>Adulto</t>
        </is>
      </c>
      <c r="B55" s="15" t="inlineStr">
        <is>
          <t>Stevia</t>
        </is>
      </c>
      <c r="C55" s="15" t="inlineStr">
        <is>
          <t>s-SLR (isóceles)</t>
        </is>
      </c>
      <c r="D55" s="15" t="n">
        <v>4</v>
      </c>
      <c r="E55" s="15" t="inlineStr">
        <is>
          <t>9</t>
        </is>
      </c>
      <c r="F55" s="15" t="inlineStr">
        <is>
          <t>240426 D2 Stevia</t>
        </is>
      </c>
      <c r="G55" s="15" t="inlineStr">
        <is>
          <t>SLR_Adulto_2024y2025.xlsx</t>
        </is>
      </c>
      <c r="H55" s="10">
        <f>IF(INDEX('S SLR'!$B$6:$AE$7,2,24)="","",INDEX('S SLR'!$B$6:$AE$7,2,24))</f>
        <v/>
      </c>
      <c r="I55" s="10">
        <f>IF(H55="","",2*H55-1)</f>
        <v/>
      </c>
    </row>
    <row r="56">
      <c r="A56" s="15" t="inlineStr">
        <is>
          <t>Adulto</t>
        </is>
      </c>
      <c r="B56" s="15" t="inlineStr">
        <is>
          <t>Stevia</t>
        </is>
      </c>
      <c r="C56" s="15" t="inlineStr">
        <is>
          <t>s-SLR (isóceles)</t>
        </is>
      </c>
      <c r="D56" s="15" t="n">
        <v>5</v>
      </c>
      <c r="E56" s="15" t="inlineStr">
        <is>
          <t>10</t>
        </is>
      </c>
      <c r="F56" s="15" t="inlineStr">
        <is>
          <t>240426 D2 Stevia</t>
        </is>
      </c>
      <c r="G56" s="15" t="inlineStr">
        <is>
          <t>SLR_Adulto_2024y2025.xlsx</t>
        </is>
      </c>
      <c r="H56" s="10">
        <f>IF(INDEX('S SLR'!$B$6:$AE$7,2,25)="","",INDEX('S SLR'!$B$6:$AE$7,2,25))</f>
        <v/>
      </c>
      <c r="I56" s="10">
        <f>IF(H56="","",2*H56-1)</f>
        <v/>
      </c>
    </row>
    <row r="57">
      <c r="A57" s="15" t="inlineStr">
        <is>
          <t>Adulto</t>
        </is>
      </c>
      <c r="B57" s="15" t="inlineStr">
        <is>
          <t>Stevia</t>
        </is>
      </c>
      <c r="C57" s="15" t="inlineStr">
        <is>
          <t>s-SLR (isóceles)</t>
        </is>
      </c>
      <c r="D57" s="15" t="n">
        <v>6</v>
      </c>
      <c r="E57" s="15" t="inlineStr">
        <is>
          <t>stevia4</t>
        </is>
      </c>
      <c r="F57" s="15" t="inlineStr">
        <is>
          <t>260807 D2 SacStev vasos</t>
        </is>
      </c>
      <c r="G57" s="15" t="inlineStr">
        <is>
          <t>SLR_Adulto_2026.xlsx</t>
        </is>
      </c>
      <c r="H57" s="10">
        <f>IF(INDEX('S SLR'!$B$6:$AE$7,2,26)="","",INDEX('S SLR'!$B$6:$AE$7,2,26))</f>
        <v/>
      </c>
      <c r="I57" s="10">
        <f>IF(H57="","",2*H57-1)</f>
        <v/>
      </c>
    </row>
    <row r="58">
      <c r="A58" s="15" t="inlineStr">
        <is>
          <t>Adulto</t>
        </is>
      </c>
      <c r="B58" s="15" t="inlineStr">
        <is>
          <t>Stevia</t>
        </is>
      </c>
      <c r="C58" s="15" t="inlineStr">
        <is>
          <t>s-SLR (isóceles)</t>
        </is>
      </c>
      <c r="D58" s="15" t="n">
        <v>7</v>
      </c>
      <c r="E58" s="15" t="inlineStr">
        <is>
          <t>stevia 5</t>
        </is>
      </c>
      <c r="F58" s="15" t="inlineStr">
        <is>
          <t>260807 D2 SacStev vasos</t>
        </is>
      </c>
      <c r="G58" s="15" t="inlineStr">
        <is>
          <t>SLR_Adulto_2026.xlsx</t>
        </is>
      </c>
      <c r="H58" s="10">
        <f>IF(INDEX('S SLR'!$B$6:$AE$7,2,27)="","",INDEX('S SLR'!$B$6:$AE$7,2,27))</f>
        <v/>
      </c>
      <c r="I58" s="10">
        <f>IF(H58="","",2*H58-1)</f>
        <v/>
      </c>
    </row>
    <row r="59">
      <c r="A59" s="15" t="inlineStr">
        <is>
          <t>Adulto</t>
        </is>
      </c>
      <c r="B59" s="15" t="inlineStr">
        <is>
          <t>Stevia</t>
        </is>
      </c>
      <c r="C59" s="15" t="inlineStr">
        <is>
          <t>s-SLR (isóceles)</t>
        </is>
      </c>
      <c r="D59" s="15" t="n">
        <v>8</v>
      </c>
      <c r="E59" s="15" t="inlineStr">
        <is>
          <t>6</t>
        </is>
      </c>
      <c r="F59" s="15" t="inlineStr">
        <is>
          <t>260811 D2 SacStev ranas</t>
        </is>
      </c>
      <c r="G59" s="15" t="inlineStr">
        <is>
          <t>SLR_Adulto_2026.xlsx</t>
        </is>
      </c>
      <c r="H59" s="10">
        <f>IF(INDEX('S SLR'!$B$6:$AE$7,2,28)="","",INDEX('S SLR'!$B$6:$AE$7,2,28))</f>
        <v/>
      </c>
      <c r="I59" s="10">
        <f>IF(H59="","",2*H59-1)</f>
        <v/>
      </c>
    </row>
    <row r="60">
      <c r="A60" s="15" t="inlineStr">
        <is>
          <t>Adulto</t>
        </is>
      </c>
      <c r="B60" s="15" t="inlineStr">
        <is>
          <t>Stevia</t>
        </is>
      </c>
      <c r="C60" s="15" t="inlineStr">
        <is>
          <t>s-SLR (isóceles)</t>
        </is>
      </c>
      <c r="D60" s="15" t="n">
        <v>9</v>
      </c>
      <c r="E60" s="15" t="inlineStr">
        <is>
          <t>7</t>
        </is>
      </c>
      <c r="F60" s="15" t="inlineStr">
        <is>
          <t>260811 D2 SacStev ranas</t>
        </is>
      </c>
      <c r="G60" s="15" t="inlineStr">
        <is>
          <t>SLR_Adulto_2026.xlsx</t>
        </is>
      </c>
      <c r="H60" s="10">
        <f>IF(INDEX('S SLR'!$B$6:$AE$7,2,29)="","",INDEX('S SLR'!$B$6:$AE$7,2,29))</f>
        <v/>
      </c>
      <c r="I60" s="10">
        <f>IF(H60="","",2*H60-1)</f>
        <v/>
      </c>
    </row>
    <row r="61">
      <c r="A61" s="15" t="inlineStr">
        <is>
          <t>Adulto</t>
        </is>
      </c>
      <c r="B61" s="15" t="inlineStr">
        <is>
          <t>Stevia</t>
        </is>
      </c>
      <c r="C61" s="15" t="inlineStr">
        <is>
          <t>s-SLR (isóceles)</t>
        </is>
      </c>
      <c r="D61" s="15" t="n">
        <v>10</v>
      </c>
      <c r="E61" s="15" t="inlineStr">
        <is>
          <t>8</t>
        </is>
      </c>
      <c r="F61" s="15" t="inlineStr">
        <is>
          <t>260811 D2 SacStev ranas</t>
        </is>
      </c>
      <c r="G61" s="15" t="inlineStr">
        <is>
          <t>SLR_Adulto_2026.xlsx</t>
        </is>
      </c>
      <c r="H61" s="10">
        <f>IF(INDEX('S SLR'!$B$6:$AE$7,2,30)="","",INDEX('S SLR'!$B$6:$AE$7,2,30))</f>
        <v/>
      </c>
      <c r="I61" s="10">
        <f>IF(H61="","",2*H61-1)</f>
        <v/>
      </c>
    </row>
    <row r="62">
      <c r="A62" s="15" t="inlineStr">
        <is>
          <t>Juvenil</t>
        </is>
      </c>
      <c r="B62" s="15" t="inlineStr">
        <is>
          <t>Control</t>
        </is>
      </c>
      <c r="C62" s="15" t="inlineStr">
        <is>
          <t>d-SLR (equilátero)</t>
        </is>
      </c>
      <c r="D62" s="15" t="n">
        <v>1</v>
      </c>
      <c r="E62" s="15" t="inlineStr">
        <is>
          <t>CON 1</t>
        </is>
      </c>
      <c r="F62" s="15" t="inlineStr">
        <is>
          <t>250606 D2 Ctrl+Stevia</t>
        </is>
      </c>
      <c r="G62" s="15" t="inlineStr">
        <is>
          <t>SLR_Juvenil_2025.xlsx</t>
        </is>
      </c>
      <c r="H62" s="10">
        <f>IF(INDEX(' D-SLR'!$B$6:$AE$7,1,1)="","",INDEX(' D-SLR'!$B$6:$AE$7,1,1))</f>
        <v/>
      </c>
      <c r="I62" s="10">
        <f>IF(H62="","",2*H62-1)</f>
        <v/>
      </c>
    </row>
    <row r="63">
      <c r="A63" s="15" t="inlineStr">
        <is>
          <t>Juvenil</t>
        </is>
      </c>
      <c r="B63" s="15" t="inlineStr">
        <is>
          <t>Control</t>
        </is>
      </c>
      <c r="C63" s="15" t="inlineStr">
        <is>
          <t>d-SLR (equilátero)</t>
        </is>
      </c>
      <c r="D63" s="15" t="n">
        <v>2</v>
      </c>
      <c r="E63" s="15" t="inlineStr">
        <is>
          <t>CON 2</t>
        </is>
      </c>
      <c r="F63" s="15" t="inlineStr">
        <is>
          <t>250606 D2 Ctrl+Stevia</t>
        </is>
      </c>
      <c r="G63" s="15" t="inlineStr">
        <is>
          <t>SLR_Juvenil_2025.xlsx</t>
        </is>
      </c>
      <c r="H63" s="10">
        <f>IF(INDEX(' D-SLR'!$B$6:$AE$7,1,2)="","",INDEX(' D-SLR'!$B$6:$AE$7,1,2))</f>
        <v/>
      </c>
      <c r="I63" s="10">
        <f>IF(H63="","",2*H63-1)</f>
        <v/>
      </c>
    </row>
    <row r="64">
      <c r="A64" s="15" t="inlineStr">
        <is>
          <t>Juvenil</t>
        </is>
      </c>
      <c r="B64" s="15" t="inlineStr">
        <is>
          <t>Control</t>
        </is>
      </c>
      <c r="C64" s="15" t="inlineStr">
        <is>
          <t>d-SLR (equilátero)</t>
        </is>
      </c>
      <c r="D64" s="15" t="n">
        <v>3</v>
      </c>
      <c r="E64" s="15" t="inlineStr">
        <is>
          <t>CON 3</t>
        </is>
      </c>
      <c r="F64" s="15" t="inlineStr">
        <is>
          <t>250606 D2 Ctrl+Stevia</t>
        </is>
      </c>
      <c r="G64" s="15" t="inlineStr">
        <is>
          <t>SLR_Juvenil_2025.xlsx</t>
        </is>
      </c>
      <c r="H64" s="10">
        <f>IF(INDEX(' D-SLR'!$B$6:$AE$7,1,3)="","",INDEX(' D-SLR'!$B$6:$AE$7,1,3))</f>
        <v/>
      </c>
      <c r="I64" s="10">
        <f>IF(H64="","",2*H64-1)</f>
        <v/>
      </c>
    </row>
    <row r="65">
      <c r="A65" s="15" t="inlineStr">
        <is>
          <t>Juvenil</t>
        </is>
      </c>
      <c r="B65" s="15" t="inlineStr">
        <is>
          <t>Control</t>
        </is>
      </c>
      <c r="C65" s="15" t="inlineStr">
        <is>
          <t>d-SLR (equilátero)</t>
        </is>
      </c>
      <c r="D65" s="15" t="n">
        <v>4</v>
      </c>
      <c r="E65" s="15" t="inlineStr">
        <is>
          <t>CON 4</t>
        </is>
      </c>
      <c r="F65" s="15" t="inlineStr">
        <is>
          <t>250606 D2 Ctrl+Stevia</t>
        </is>
      </c>
      <c r="G65" s="15" t="inlineStr">
        <is>
          <t>SLR_Juvenil_2025.xlsx</t>
        </is>
      </c>
      <c r="H65" s="10">
        <f>IF(INDEX(' D-SLR'!$B$6:$AE$7,1,4)="","",INDEX(' D-SLR'!$B$6:$AE$7,1,4))</f>
        <v/>
      </c>
      <c r="I65" s="10">
        <f>IF(H65="","",2*H65-1)</f>
        <v/>
      </c>
    </row>
    <row r="66">
      <c r="A66" s="15" t="inlineStr">
        <is>
          <t>Juvenil</t>
        </is>
      </c>
      <c r="B66" s="15" t="inlineStr">
        <is>
          <t>Control</t>
        </is>
      </c>
      <c r="C66" s="15" t="inlineStr">
        <is>
          <t>d-SLR (equilátero)</t>
        </is>
      </c>
      <c r="D66" s="15" t="n">
        <v>5</v>
      </c>
      <c r="E66" s="15" t="inlineStr">
        <is>
          <t>1</t>
        </is>
      </c>
      <c r="F66" s="15" t="inlineStr">
        <is>
          <t>251031 D2 Ctrl-oct vasos</t>
        </is>
      </c>
      <c r="G66" s="15" t="inlineStr">
        <is>
          <t>SLR_Juvenil_2025.xlsx</t>
        </is>
      </c>
      <c r="H66" s="10">
        <f>IF(INDEX(' D-SLR'!$B$6:$AE$7,1,5)="","",INDEX(' D-SLR'!$B$6:$AE$7,1,5))</f>
        <v/>
      </c>
      <c r="I66" s="10">
        <f>IF(H66="","",2*H66-1)</f>
        <v/>
      </c>
    </row>
    <row r="67">
      <c r="A67" s="15" t="inlineStr">
        <is>
          <t>Juvenil</t>
        </is>
      </c>
      <c r="B67" s="15" t="inlineStr">
        <is>
          <t>Control</t>
        </is>
      </c>
      <c r="C67" s="15" t="inlineStr">
        <is>
          <t>d-SLR (equilátero)</t>
        </is>
      </c>
      <c r="D67" s="15" t="n">
        <v>6</v>
      </c>
      <c r="E67" s="15" t="inlineStr">
        <is>
          <t>2</t>
        </is>
      </c>
      <c r="F67" s="15" t="inlineStr">
        <is>
          <t>251031 D2 Ctrl-oct vasos</t>
        </is>
      </c>
      <c r="G67" s="15" t="inlineStr">
        <is>
          <t>SLR_Juvenil_2025.xlsx</t>
        </is>
      </c>
      <c r="H67" s="10">
        <f>IF(INDEX(' D-SLR'!$B$6:$AE$7,1,6)="","",INDEX(' D-SLR'!$B$6:$AE$7,1,6))</f>
        <v/>
      </c>
      <c r="I67" s="10">
        <f>IF(H67="","",2*H67-1)</f>
        <v/>
      </c>
    </row>
    <row r="68">
      <c r="A68" s="15" t="inlineStr">
        <is>
          <t>Juvenil</t>
        </is>
      </c>
      <c r="B68" s="15" t="inlineStr">
        <is>
          <t>Control</t>
        </is>
      </c>
      <c r="C68" s="15" t="inlineStr">
        <is>
          <t>d-SLR (equilátero)</t>
        </is>
      </c>
      <c r="D68" s="15" t="n">
        <v>7</v>
      </c>
      <c r="E68" s="15" t="inlineStr">
        <is>
          <t>3</t>
        </is>
      </c>
      <c r="F68" s="15" t="inlineStr">
        <is>
          <t>251031 D2 Ctrl-oct vasos</t>
        </is>
      </c>
      <c r="G68" s="15" t="inlineStr">
        <is>
          <t>SLR_Juvenil_2025.xlsx</t>
        </is>
      </c>
      <c r="H68" s="10">
        <f>IF(INDEX(' D-SLR'!$B$6:$AE$7,1,7)="","",INDEX(' D-SLR'!$B$6:$AE$7,1,7))</f>
        <v/>
      </c>
      <c r="I68" s="10">
        <f>IF(H68="","",2*H68-1)</f>
        <v/>
      </c>
    </row>
    <row r="69">
      <c r="A69" s="15" t="inlineStr">
        <is>
          <t>Juvenil</t>
        </is>
      </c>
      <c r="B69" s="15" t="inlineStr">
        <is>
          <t>Control</t>
        </is>
      </c>
      <c r="C69" s="15" t="inlineStr">
        <is>
          <t>d-SLR (equilátero)</t>
        </is>
      </c>
      <c r="D69" s="15" t="n">
        <v>8</v>
      </c>
      <c r="E69" s="15" t="inlineStr">
        <is>
          <t>4</t>
        </is>
      </c>
      <c r="F69" s="15" t="inlineStr">
        <is>
          <t>251104 D2 Ctrl-oct ranas</t>
        </is>
      </c>
      <c r="G69" s="15" t="inlineStr">
        <is>
          <t>SLR_Juvenil_2025.xlsx</t>
        </is>
      </c>
      <c r="H69" s="10">
        <f>IF(INDEX(' D-SLR'!$B$6:$AE$7,1,8)="","",INDEX(' D-SLR'!$B$6:$AE$7,1,8))</f>
        <v/>
      </c>
      <c r="I69" s="10">
        <f>IF(H69="","",2*H69-1)</f>
        <v/>
      </c>
    </row>
    <row r="70">
      <c r="A70" s="15" t="inlineStr">
        <is>
          <t>Juvenil</t>
        </is>
      </c>
      <c r="B70" s="15" t="inlineStr">
        <is>
          <t>Control</t>
        </is>
      </c>
      <c r="C70" s="15" t="inlineStr">
        <is>
          <t>d-SLR (equilátero)</t>
        </is>
      </c>
      <c r="D70" s="15" t="n">
        <v>9</v>
      </c>
      <c r="E70" s="15" t="inlineStr">
        <is>
          <t>5</t>
        </is>
      </c>
      <c r="F70" s="15" t="inlineStr">
        <is>
          <t>251104 D2 Ctrl-oct ranas</t>
        </is>
      </c>
      <c r="G70" s="15" t="inlineStr">
        <is>
          <t>SLR_Juvenil_2025.xlsx</t>
        </is>
      </c>
      <c r="H70" s="10">
        <f>IF(INDEX(' D-SLR'!$B$6:$AE$7,1,9)="","",INDEX(' D-SLR'!$B$6:$AE$7,1,9))</f>
        <v/>
      </c>
      <c r="I70" s="10">
        <f>IF(H70="","",2*H70-1)</f>
        <v/>
      </c>
    </row>
    <row r="71">
      <c r="A71" s="15" t="inlineStr">
        <is>
          <t>Juvenil</t>
        </is>
      </c>
      <c r="B71" s="15" t="inlineStr">
        <is>
          <t>Control</t>
        </is>
      </c>
      <c r="C71" s="15" t="inlineStr">
        <is>
          <t>s-SLR (isóceles)</t>
        </is>
      </c>
      <c r="D71" s="15" t="n">
        <v>1</v>
      </c>
      <c r="E71" s="15" t="inlineStr">
        <is>
          <t>CON 5</t>
        </is>
      </c>
      <c r="F71" s="15" t="inlineStr">
        <is>
          <t>250606 D2 Ctrl+Stevia</t>
        </is>
      </c>
      <c r="G71" s="15" t="inlineStr">
        <is>
          <t>SLR_Juvenil_2025.xlsx</t>
        </is>
      </c>
      <c r="H71" s="10">
        <f>IF(INDEX('S SLR'!$B$6:$AE$7,1,1)="","",INDEX('S SLR'!$B$6:$AE$7,1,1))</f>
        <v/>
      </c>
      <c r="I71" s="10">
        <f>IF(H71="","",2*H71-1)</f>
        <v/>
      </c>
    </row>
    <row r="72">
      <c r="A72" s="15" t="inlineStr">
        <is>
          <t>Juvenil</t>
        </is>
      </c>
      <c r="B72" s="15" t="inlineStr">
        <is>
          <t>Control</t>
        </is>
      </c>
      <c r="C72" s="15" t="inlineStr">
        <is>
          <t>s-SLR (isóceles)</t>
        </is>
      </c>
      <c r="D72" s="15" t="n">
        <v>2</v>
      </c>
      <c r="E72" s="15" t="inlineStr">
        <is>
          <t>CON 6</t>
        </is>
      </c>
      <c r="F72" s="15" t="inlineStr">
        <is>
          <t>250606 D2 Ctrl+Stevia</t>
        </is>
      </c>
      <c r="G72" s="15" t="inlineStr">
        <is>
          <t>SLR_Juvenil_2025.xlsx</t>
        </is>
      </c>
      <c r="H72" s="10">
        <f>IF(INDEX('S SLR'!$B$6:$AE$7,1,2)="","",INDEX('S SLR'!$B$6:$AE$7,1,2))</f>
        <v/>
      </c>
      <c r="I72" s="10">
        <f>IF(H72="","",2*H72-1)</f>
        <v/>
      </c>
    </row>
    <row r="73">
      <c r="A73" s="15" t="inlineStr">
        <is>
          <t>Juvenil</t>
        </is>
      </c>
      <c r="B73" s="15" t="inlineStr">
        <is>
          <t>Control</t>
        </is>
      </c>
      <c r="C73" s="15" t="inlineStr">
        <is>
          <t>s-SLR (isóceles)</t>
        </is>
      </c>
      <c r="D73" s="15" t="n">
        <v>3</v>
      </c>
      <c r="E73" s="15" t="inlineStr">
        <is>
          <t>CON 7</t>
        </is>
      </c>
      <c r="F73" s="15" t="inlineStr">
        <is>
          <t>250606 D2 Ctrl+Stevia</t>
        </is>
      </c>
      <c r="G73" s="15" t="inlineStr">
        <is>
          <t>SLR_Juvenil_2025.xlsx</t>
        </is>
      </c>
      <c r="H73" s="10">
        <f>IF(INDEX('S SLR'!$B$6:$AE$7,1,3)="","",INDEX('S SLR'!$B$6:$AE$7,1,3))</f>
        <v/>
      </c>
      <c r="I73" s="10">
        <f>IF(H73="","",2*H73-1)</f>
        <v/>
      </c>
    </row>
    <row r="74">
      <c r="A74" s="15" t="inlineStr">
        <is>
          <t>Juvenil</t>
        </is>
      </c>
      <c r="B74" s="15" t="inlineStr">
        <is>
          <t>Control</t>
        </is>
      </c>
      <c r="C74" s="15" t="inlineStr">
        <is>
          <t>s-SLR (isóceles)</t>
        </is>
      </c>
      <c r="D74" s="15" t="n">
        <v>4</v>
      </c>
      <c r="E74" s="15" t="inlineStr">
        <is>
          <t>CON 8</t>
        </is>
      </c>
      <c r="F74" s="15" t="inlineStr">
        <is>
          <t>250606 D2 Ctrl+Stevia</t>
        </is>
      </c>
      <c r="G74" s="15" t="inlineStr">
        <is>
          <t>SLR_Juvenil_2025.xlsx</t>
        </is>
      </c>
      <c r="H74" s="10">
        <f>IF(INDEX('S SLR'!$B$6:$AE$7,1,4)="","",INDEX('S SLR'!$B$6:$AE$7,1,4))</f>
        <v/>
      </c>
      <c r="I74" s="10">
        <f>IF(H74="","",2*H74-1)</f>
        <v/>
      </c>
    </row>
    <row r="75">
      <c r="A75" s="15" t="inlineStr">
        <is>
          <t>Juvenil</t>
        </is>
      </c>
      <c r="B75" s="15" t="inlineStr">
        <is>
          <t>Control</t>
        </is>
      </c>
      <c r="C75" s="15" t="inlineStr">
        <is>
          <t>s-SLR (isóceles)</t>
        </is>
      </c>
      <c r="D75" s="15" t="n">
        <v>5</v>
      </c>
      <c r="E75" s="15" t="inlineStr">
        <is>
          <t>CON 9</t>
        </is>
      </c>
      <c r="F75" s="15" t="inlineStr">
        <is>
          <t>250606 D2 Ctrl+Stevia</t>
        </is>
      </c>
      <c r="G75" s="15" t="inlineStr">
        <is>
          <t>SLR_Juvenil_2025.xlsx</t>
        </is>
      </c>
      <c r="H75" s="10">
        <f>IF(INDEX('S SLR'!$B$6:$AE$7,1,5)="","",INDEX('S SLR'!$B$6:$AE$7,1,5))</f>
        <v/>
      </c>
      <c r="I75" s="10">
        <f>IF(H75="","",2*H75-1)</f>
        <v/>
      </c>
    </row>
    <row r="76">
      <c r="A76" s="15" t="inlineStr">
        <is>
          <t>Juvenil</t>
        </is>
      </c>
      <c r="B76" s="15" t="inlineStr">
        <is>
          <t>Control</t>
        </is>
      </c>
      <c r="C76" s="15" t="inlineStr">
        <is>
          <t>s-SLR (isóceles)</t>
        </is>
      </c>
      <c r="D76" s="15" t="n">
        <v>6</v>
      </c>
      <c r="E76" s="15" t="inlineStr">
        <is>
          <t>4</t>
        </is>
      </c>
      <c r="F76" s="15" t="inlineStr">
        <is>
          <t>251031 D2 Ctrl-oct vasos</t>
        </is>
      </c>
      <c r="G76" s="15" t="inlineStr">
        <is>
          <t>SLR_Juvenil_2025.xlsx</t>
        </is>
      </c>
      <c r="H76" s="10">
        <f>IF(INDEX('S SLR'!$B$6:$AE$7,1,6)="","",INDEX('S SLR'!$B$6:$AE$7,1,6))</f>
        <v/>
      </c>
      <c r="I76" s="10">
        <f>IF(H76="","",2*H76-1)</f>
        <v/>
      </c>
    </row>
    <row r="77">
      <c r="A77" s="15" t="inlineStr">
        <is>
          <t>Juvenil</t>
        </is>
      </c>
      <c r="B77" s="15" t="inlineStr">
        <is>
          <t>Control</t>
        </is>
      </c>
      <c r="C77" s="15" t="inlineStr">
        <is>
          <t>s-SLR (isóceles)</t>
        </is>
      </c>
      <c r="D77" s="15" t="n">
        <v>7</v>
      </c>
      <c r="E77" s="15" t="inlineStr">
        <is>
          <t>5</t>
        </is>
      </c>
      <c r="F77" s="15" t="inlineStr">
        <is>
          <t>251031 D2 Ctrl-oct vasos</t>
        </is>
      </c>
      <c r="G77" s="15" t="inlineStr">
        <is>
          <t>SLR_Juvenil_2025.xlsx</t>
        </is>
      </c>
      <c r="H77" s="10">
        <f>IF(INDEX('S SLR'!$B$6:$AE$7,1,7)="","",INDEX('S SLR'!$B$6:$AE$7,1,7))</f>
        <v/>
      </c>
      <c r="I77" s="10">
        <f>IF(H77="","",2*H77-1)</f>
        <v/>
      </c>
    </row>
    <row r="78">
      <c r="A78" s="15" t="inlineStr">
        <is>
          <t>Juvenil</t>
        </is>
      </c>
      <c r="B78" s="15" t="inlineStr">
        <is>
          <t>Control</t>
        </is>
      </c>
      <c r="C78" s="15" t="inlineStr">
        <is>
          <t>s-SLR (isóceles)</t>
        </is>
      </c>
      <c r="D78" s="15" t="n">
        <v>8</v>
      </c>
      <c r="E78" s="15" t="inlineStr">
        <is>
          <t>1</t>
        </is>
      </c>
      <c r="F78" s="15" t="inlineStr">
        <is>
          <t>251104 D2 Ctrl-oct ranas</t>
        </is>
      </c>
      <c r="G78" s="15" t="inlineStr">
        <is>
          <t>SLR_Juvenil_2025.xlsx</t>
        </is>
      </c>
      <c r="H78" s="10">
        <f>IF(INDEX('S SLR'!$B$6:$AE$7,1,8)="","",INDEX('S SLR'!$B$6:$AE$7,1,8))</f>
        <v/>
      </c>
      <c r="I78" s="10">
        <f>IF(H78="","",2*H78-1)</f>
        <v/>
      </c>
    </row>
    <row r="79">
      <c r="A79" s="15" t="inlineStr">
        <is>
          <t>Juvenil</t>
        </is>
      </c>
      <c r="B79" s="15" t="inlineStr">
        <is>
          <t>Control</t>
        </is>
      </c>
      <c r="C79" s="15" t="inlineStr">
        <is>
          <t>s-SLR (isóceles)</t>
        </is>
      </c>
      <c r="D79" s="15" t="n">
        <v>9</v>
      </c>
      <c r="E79" s="15" t="inlineStr">
        <is>
          <t>2</t>
        </is>
      </c>
      <c r="F79" s="15" t="inlineStr">
        <is>
          <t>251104 D2 Ctrl-oct ranas</t>
        </is>
      </c>
      <c r="G79" s="15" t="inlineStr">
        <is>
          <t>SLR_Juvenil_2025.xlsx</t>
        </is>
      </c>
      <c r="H79" s="10">
        <f>IF(INDEX('S SLR'!$B$6:$AE$7,1,9)="","",INDEX('S SLR'!$B$6:$AE$7,1,9))</f>
        <v/>
      </c>
      <c r="I79" s="10">
        <f>IF(H79="","",2*H79-1)</f>
        <v/>
      </c>
    </row>
    <row r="80">
      <c r="A80" s="15" t="inlineStr">
        <is>
          <t>Juvenil</t>
        </is>
      </c>
      <c r="B80" s="15" t="inlineStr">
        <is>
          <t>Control</t>
        </is>
      </c>
      <c r="C80" s="15" t="inlineStr">
        <is>
          <t>s-SLR (isóceles)</t>
        </is>
      </c>
      <c r="D80" s="15" t="n">
        <v>10</v>
      </c>
      <c r="E80" s="15" t="inlineStr">
        <is>
          <t>3</t>
        </is>
      </c>
      <c r="F80" s="15" t="inlineStr">
        <is>
          <t>251104 D2 Ctrl-oct ranas</t>
        </is>
      </c>
      <c r="G80" s="15" t="inlineStr">
        <is>
          <t>SLR_Juvenil_2025.xlsx</t>
        </is>
      </c>
      <c r="H80" s="10">
        <f>IF(INDEX('S SLR'!$B$6:$AE$7,1,10)="","",INDEX('S SLR'!$B$6:$AE$7,1,10))</f>
        <v/>
      </c>
      <c r="I80" s="10">
        <f>IF(H80="","",2*H80-1)</f>
        <v/>
      </c>
    </row>
    <row r="81">
      <c r="A81" s="15" t="inlineStr">
        <is>
          <t>Juvenil</t>
        </is>
      </c>
      <c r="B81" s="15" t="inlineStr">
        <is>
          <t>Sacarosa</t>
        </is>
      </c>
      <c r="C81" s="15" t="inlineStr">
        <is>
          <t>d-SLR (equilátero)</t>
        </is>
      </c>
      <c r="D81" s="15" t="n">
        <v>1</v>
      </c>
      <c r="E81" s="15" t="inlineStr">
        <is>
          <t>1</t>
        </is>
      </c>
      <c r="F81" s="15" t="inlineStr">
        <is>
          <t>250627 D2 Sacarosa</t>
        </is>
      </c>
      <c r="G81" s="15" t="inlineStr">
        <is>
          <t>SLR_Juvenil_2025.xlsx</t>
        </is>
      </c>
      <c r="H81" s="10">
        <f>IF(INDEX(' D-SLR'!$B$6:$AE$7,1,11)="","",INDEX(' D-SLR'!$B$6:$AE$7,1,11))</f>
        <v/>
      </c>
      <c r="I81" s="10">
        <f>IF(H81="","",2*H81-1)</f>
        <v/>
      </c>
    </row>
    <row r="82">
      <c r="A82" s="15" t="inlineStr">
        <is>
          <t>Juvenil</t>
        </is>
      </c>
      <c r="B82" s="15" t="inlineStr">
        <is>
          <t>Sacarosa</t>
        </is>
      </c>
      <c r="C82" s="15" t="inlineStr">
        <is>
          <t>d-SLR (equilátero)</t>
        </is>
      </c>
      <c r="D82" s="15" t="n">
        <v>2</v>
      </c>
      <c r="E82" s="15" t="inlineStr">
        <is>
          <t>2</t>
        </is>
      </c>
      <c r="F82" s="15" t="inlineStr">
        <is>
          <t>250627 D2 Sacarosa</t>
        </is>
      </c>
      <c r="G82" s="15" t="inlineStr">
        <is>
          <t>SLR_Juvenil_2025.xlsx</t>
        </is>
      </c>
      <c r="H82" s="10">
        <f>IF(INDEX(' D-SLR'!$B$6:$AE$7,1,12)="","",INDEX(' D-SLR'!$B$6:$AE$7,1,12))</f>
        <v/>
      </c>
      <c r="I82" s="10">
        <f>IF(H82="","",2*H82-1)</f>
        <v/>
      </c>
    </row>
    <row r="83">
      <c r="A83" s="15" t="inlineStr">
        <is>
          <t>Juvenil</t>
        </is>
      </c>
      <c r="B83" s="15" t="inlineStr">
        <is>
          <t>Sacarosa</t>
        </is>
      </c>
      <c r="C83" s="15" t="inlineStr">
        <is>
          <t>d-SLR (equilátero)</t>
        </is>
      </c>
      <c r="D83" s="15" t="n">
        <v>3</v>
      </c>
      <c r="E83" s="15" t="inlineStr">
        <is>
          <t>3</t>
        </is>
      </c>
      <c r="F83" s="15" t="inlineStr">
        <is>
          <t>250627 D2 Sacarosa</t>
        </is>
      </c>
      <c r="G83" s="15" t="inlineStr">
        <is>
          <t>SLR_Juvenil_2025.xlsx</t>
        </is>
      </c>
      <c r="H83" s="10">
        <f>IF(INDEX(' D-SLR'!$B$6:$AE$7,1,13)="","",INDEX(' D-SLR'!$B$6:$AE$7,1,13))</f>
        <v/>
      </c>
      <c r="I83" s="10">
        <f>IF(H83="","",2*H83-1)</f>
        <v/>
      </c>
    </row>
    <row r="84">
      <c r="A84" s="15" t="inlineStr">
        <is>
          <t>Juvenil</t>
        </is>
      </c>
      <c r="B84" s="15" t="inlineStr">
        <is>
          <t>Sacarosa</t>
        </is>
      </c>
      <c r="C84" s="15" t="inlineStr">
        <is>
          <t>d-SLR (equilátero)</t>
        </is>
      </c>
      <c r="D84" s="15" t="n">
        <v>4</v>
      </c>
      <c r="E84" s="15" t="inlineStr">
        <is>
          <t>4</t>
        </is>
      </c>
      <c r="F84" s="15" t="inlineStr">
        <is>
          <t>250627 D2 Sacarosa</t>
        </is>
      </c>
      <c r="G84" s="15" t="inlineStr">
        <is>
          <t>SLR_Juvenil_2025.xlsx</t>
        </is>
      </c>
      <c r="H84" s="10">
        <f>IF(INDEX(' D-SLR'!$B$6:$AE$7,1,14)="","",INDEX(' D-SLR'!$B$6:$AE$7,1,14))</f>
        <v/>
      </c>
      <c r="I84" s="10">
        <f>IF(H84="","",2*H84-1)</f>
        <v/>
      </c>
    </row>
    <row r="85">
      <c r="A85" s="15" t="inlineStr">
        <is>
          <t>Juvenil</t>
        </is>
      </c>
      <c r="B85" s="15" t="inlineStr">
        <is>
          <t>Sacarosa</t>
        </is>
      </c>
      <c r="C85" s="15" t="inlineStr">
        <is>
          <t>d-SLR (equilátero)</t>
        </is>
      </c>
      <c r="D85" s="15" t="n">
        <v>5</v>
      </c>
      <c r="E85" s="15" t="inlineStr">
        <is>
          <t>SAC 1</t>
        </is>
      </c>
      <c r="F85" s="15" t="inlineStr">
        <is>
          <t>260720 D2 Par1 vasos</t>
        </is>
      </c>
      <c r="G85" s="15" t="inlineStr">
        <is>
          <t>SLR_Juvenil_2026.xlsx</t>
        </is>
      </c>
      <c r="H85" s="10">
        <f>IF(INDEX(' D-SLR'!$B$6:$AE$7,1,15)="","",INDEX(' D-SLR'!$B$6:$AE$7,1,15))</f>
        <v/>
      </c>
      <c r="I85" s="10">
        <f>IF(H85="","",2*H85-1)</f>
        <v/>
      </c>
    </row>
    <row r="86">
      <c r="A86" s="15" t="inlineStr">
        <is>
          <t>Juvenil</t>
        </is>
      </c>
      <c r="B86" s="15" t="inlineStr">
        <is>
          <t>Sacarosa</t>
        </is>
      </c>
      <c r="C86" s="15" t="inlineStr">
        <is>
          <t>d-SLR (equilátero)</t>
        </is>
      </c>
      <c r="D86" s="15" t="n">
        <v>6</v>
      </c>
      <c r="E86" s="15" t="inlineStr">
        <is>
          <t>SAC 2</t>
        </is>
      </c>
      <c r="F86" s="15" t="inlineStr">
        <is>
          <t>260720 D2 Par1 vasos</t>
        </is>
      </c>
      <c r="G86" s="15" t="inlineStr">
        <is>
          <t>SLR_Juvenil_2026.xlsx</t>
        </is>
      </c>
      <c r="H86" s="10">
        <f>IF(INDEX(' D-SLR'!$B$6:$AE$7,1,16)="","",INDEX(' D-SLR'!$B$6:$AE$7,1,16))</f>
        <v/>
      </c>
      <c r="I86" s="10">
        <f>IF(H86="","",2*H86-1)</f>
        <v/>
      </c>
    </row>
    <row r="87">
      <c r="A87" s="15" t="inlineStr">
        <is>
          <t>Juvenil</t>
        </is>
      </c>
      <c r="B87" s="15" t="inlineStr">
        <is>
          <t>Sacarosa</t>
        </is>
      </c>
      <c r="C87" s="15" t="inlineStr">
        <is>
          <t>d-SLR (equilátero)</t>
        </is>
      </c>
      <c r="D87" s="15" t="n">
        <v>7</v>
      </c>
      <c r="E87" s="15" t="inlineStr">
        <is>
          <t>SAC 3</t>
        </is>
      </c>
      <c r="F87" s="15" t="inlineStr">
        <is>
          <t>260720 D2 Par1 vasos</t>
        </is>
      </c>
      <c r="G87" s="15" t="inlineStr">
        <is>
          <t>SLR_Juvenil_2026.xlsx</t>
        </is>
      </c>
      <c r="H87" s="10">
        <f>IF(INDEX(' D-SLR'!$B$6:$AE$7,1,17)="","",INDEX(' D-SLR'!$B$6:$AE$7,1,17))</f>
        <v/>
      </c>
      <c r="I87" s="10">
        <f>IF(H87="","",2*H87-1)</f>
        <v/>
      </c>
    </row>
    <row r="88">
      <c r="A88" s="15" t="inlineStr">
        <is>
          <t>Juvenil</t>
        </is>
      </c>
      <c r="B88" s="15" t="inlineStr">
        <is>
          <t>Sacarosa</t>
        </is>
      </c>
      <c r="C88" s="15" t="inlineStr">
        <is>
          <t>d-SLR (equilátero)</t>
        </is>
      </c>
      <c r="D88" s="15" t="n">
        <v>8</v>
      </c>
      <c r="E88" s="15" t="inlineStr">
        <is>
          <t>sac 4</t>
        </is>
      </c>
      <c r="F88" s="15" t="inlineStr">
        <is>
          <t>260724 D2 Par2 ranas</t>
        </is>
      </c>
      <c r="G88" s="15" t="inlineStr">
        <is>
          <t>SLR_Juvenil_2026.xlsx</t>
        </is>
      </c>
      <c r="H88" s="10">
        <f>IF(INDEX(' D-SLR'!$B$6:$AE$7,1,18)="","",INDEX(' D-SLR'!$B$6:$AE$7,1,18))</f>
        <v/>
      </c>
      <c r="I88" s="10">
        <f>IF(H88="","",2*H88-1)</f>
        <v/>
      </c>
    </row>
    <row r="89">
      <c r="A89" s="15" t="inlineStr">
        <is>
          <t>Juvenil</t>
        </is>
      </c>
      <c r="B89" s="15" t="inlineStr">
        <is>
          <t>Sacarosa</t>
        </is>
      </c>
      <c r="C89" s="15" t="inlineStr">
        <is>
          <t>d-SLR (equilátero)</t>
        </is>
      </c>
      <c r="D89" s="15" t="n">
        <v>9</v>
      </c>
      <c r="E89" s="15" t="inlineStr">
        <is>
          <t>sac 5</t>
        </is>
      </c>
      <c r="F89" s="15" t="inlineStr">
        <is>
          <t>260724 D2 Par2 ranas</t>
        </is>
      </c>
      <c r="G89" s="15" t="inlineStr">
        <is>
          <t>SLR_Juvenil_2026.xlsx</t>
        </is>
      </c>
      <c r="H89" s="10">
        <f>IF(INDEX(' D-SLR'!$B$6:$AE$7,1,19)="","",INDEX(' D-SLR'!$B$6:$AE$7,1,19))</f>
        <v/>
      </c>
      <c r="I89" s="10">
        <f>IF(H89="","",2*H89-1)</f>
        <v/>
      </c>
    </row>
    <row r="90">
      <c r="A90" s="15" t="inlineStr">
        <is>
          <t>Juvenil</t>
        </is>
      </c>
      <c r="B90" s="15" t="inlineStr">
        <is>
          <t>Sacarosa</t>
        </is>
      </c>
      <c r="C90" s="15" t="inlineStr">
        <is>
          <t>s-SLR (isóceles)</t>
        </is>
      </c>
      <c r="D90" s="15" t="n">
        <v>1</v>
      </c>
      <c r="E90" s="15" t="inlineStr">
        <is>
          <t>5</t>
        </is>
      </c>
      <c r="F90" s="15" t="inlineStr">
        <is>
          <t>250627 D2 Sacarosa</t>
        </is>
      </c>
      <c r="G90" s="15" t="inlineStr">
        <is>
          <t>SLR_Juvenil_2025.xlsx</t>
        </is>
      </c>
      <c r="H90" s="10">
        <f>IF(INDEX('S SLR'!$B$6:$AE$7,1,11)="","",INDEX('S SLR'!$B$6:$AE$7,1,11))</f>
        <v/>
      </c>
      <c r="I90" s="10">
        <f>IF(H90="","",2*H90-1)</f>
        <v/>
      </c>
    </row>
    <row r="91">
      <c r="A91" s="15" t="inlineStr">
        <is>
          <t>Juvenil</t>
        </is>
      </c>
      <c r="B91" s="15" t="inlineStr">
        <is>
          <t>Sacarosa</t>
        </is>
      </c>
      <c r="C91" s="15" t="inlineStr">
        <is>
          <t>s-SLR (isóceles)</t>
        </is>
      </c>
      <c r="D91" s="15" t="n">
        <v>2</v>
      </c>
      <c r="E91" s="15" t="inlineStr">
        <is>
          <t>6</t>
        </is>
      </c>
      <c r="F91" s="15" t="inlineStr">
        <is>
          <t>250627 D2 Sacarosa</t>
        </is>
      </c>
      <c r="G91" s="15" t="inlineStr">
        <is>
          <t>SLR_Juvenil_2025.xlsx</t>
        </is>
      </c>
      <c r="H91" s="10">
        <f>IF(INDEX('S SLR'!$B$6:$AE$7,1,12)="","",INDEX('S SLR'!$B$6:$AE$7,1,12))</f>
        <v/>
      </c>
      <c r="I91" s="10">
        <f>IF(H91="","",2*H91-1)</f>
        <v/>
      </c>
    </row>
    <row r="92">
      <c r="A92" s="15" t="inlineStr">
        <is>
          <t>Juvenil</t>
        </is>
      </c>
      <c r="B92" s="15" t="inlineStr">
        <is>
          <t>Sacarosa</t>
        </is>
      </c>
      <c r="C92" s="15" t="inlineStr">
        <is>
          <t>s-SLR (isóceles)</t>
        </is>
      </c>
      <c r="D92" s="15" t="n">
        <v>3</v>
      </c>
      <c r="E92" s="15" t="inlineStr">
        <is>
          <t>7</t>
        </is>
      </c>
      <c r="F92" s="15" t="inlineStr">
        <is>
          <t>250627 D2 Sacarosa</t>
        </is>
      </c>
      <c r="G92" s="15" t="inlineStr">
        <is>
          <t>SLR_Juvenil_2025.xlsx</t>
        </is>
      </c>
      <c r="H92" s="10">
        <f>IF(INDEX('S SLR'!$B$6:$AE$7,1,13)="","",INDEX('S SLR'!$B$6:$AE$7,1,13))</f>
        <v/>
      </c>
      <c r="I92" s="10">
        <f>IF(H92="","",2*H92-1)</f>
        <v/>
      </c>
    </row>
    <row r="93">
      <c r="A93" s="15" t="inlineStr">
        <is>
          <t>Juvenil</t>
        </is>
      </c>
      <c r="B93" s="15" t="inlineStr">
        <is>
          <t>Sacarosa</t>
        </is>
      </c>
      <c r="C93" s="15" t="inlineStr">
        <is>
          <t>s-SLR (isóceles)</t>
        </is>
      </c>
      <c r="D93" s="15" t="n">
        <v>4</v>
      </c>
      <c r="E93" s="15" t="inlineStr">
        <is>
          <t>8</t>
        </is>
      </c>
      <c r="F93" s="15" t="inlineStr">
        <is>
          <t>250627 D2 Sacarosa</t>
        </is>
      </c>
      <c r="G93" s="15" t="inlineStr">
        <is>
          <t>SLR_Juvenil_2025.xlsx</t>
        </is>
      </c>
      <c r="H93" s="10">
        <f>IF(INDEX('S SLR'!$B$6:$AE$7,1,14)="","",INDEX('S SLR'!$B$6:$AE$7,1,14))</f>
        <v/>
      </c>
      <c r="I93" s="10">
        <f>IF(H93="","",2*H93-1)</f>
        <v/>
      </c>
    </row>
    <row r="94">
      <c r="A94" s="15" t="inlineStr">
        <is>
          <t>Juvenil</t>
        </is>
      </c>
      <c r="B94" s="15" t="inlineStr">
        <is>
          <t>Sacarosa</t>
        </is>
      </c>
      <c r="C94" s="15" t="inlineStr">
        <is>
          <t>s-SLR (isóceles)</t>
        </is>
      </c>
      <c r="D94" s="15" t="n">
        <v>5</v>
      </c>
      <c r="E94" s="15" t="inlineStr">
        <is>
          <t>SAC 4</t>
        </is>
      </c>
      <c r="F94" s="15" t="inlineStr">
        <is>
          <t>260720 D2 Par1 vasos</t>
        </is>
      </c>
      <c r="G94" s="15" t="inlineStr">
        <is>
          <t>SLR_Juvenil_2026.xlsx</t>
        </is>
      </c>
      <c r="H94" s="10">
        <f>IF(INDEX('S SLR'!$B$6:$AE$7,1,15)="","",INDEX('S SLR'!$B$6:$AE$7,1,15))</f>
        <v/>
      </c>
      <c r="I94" s="10">
        <f>IF(H94="","",2*H94-1)</f>
        <v/>
      </c>
    </row>
    <row r="95">
      <c r="A95" s="15" t="inlineStr">
        <is>
          <t>Juvenil</t>
        </is>
      </c>
      <c r="B95" s="15" t="inlineStr">
        <is>
          <t>Sacarosa</t>
        </is>
      </c>
      <c r="C95" s="15" t="inlineStr">
        <is>
          <t>s-SLR (isóceles)</t>
        </is>
      </c>
      <c r="D95" s="15" t="n">
        <v>6</v>
      </c>
      <c r="E95" s="15" t="inlineStr">
        <is>
          <t>SAC 5</t>
        </is>
      </c>
      <c r="F95" s="15" t="inlineStr">
        <is>
          <t>260720 D2 Par1 vasos</t>
        </is>
      </c>
      <c r="G95" s="15" t="inlineStr">
        <is>
          <t>SLR_Juvenil_2026.xlsx</t>
        </is>
      </c>
      <c r="H95" s="10">
        <f>IF(INDEX('S SLR'!$B$6:$AE$7,1,16)="","",INDEX('S SLR'!$B$6:$AE$7,1,16))</f>
        <v/>
      </c>
      <c r="I95" s="10">
        <f>IF(H95="","",2*H95-1)</f>
        <v/>
      </c>
    </row>
    <row r="96">
      <c r="A96" s="15" t="inlineStr">
        <is>
          <t>Juvenil</t>
        </is>
      </c>
      <c r="B96" s="15" t="inlineStr">
        <is>
          <t>Sacarosa</t>
        </is>
      </c>
      <c r="C96" s="15" t="inlineStr">
        <is>
          <t>s-SLR (isóceles)</t>
        </is>
      </c>
      <c r="D96" s="15" t="n">
        <v>7</v>
      </c>
      <c r="E96" s="15" t="inlineStr">
        <is>
          <t>sac 1</t>
        </is>
      </c>
      <c r="F96" s="15" t="inlineStr">
        <is>
          <t>260724 D2 Par2 ranas</t>
        </is>
      </c>
      <c r="G96" s="15" t="inlineStr">
        <is>
          <t>SLR_Juvenil_2026.xlsx</t>
        </is>
      </c>
      <c r="H96" s="10">
        <f>IF(INDEX('S SLR'!$B$6:$AE$7,1,17)="","",INDEX('S SLR'!$B$6:$AE$7,1,17))</f>
        <v/>
      </c>
      <c r="I96" s="10">
        <f>IF(H96="","",2*H96-1)</f>
        <v/>
      </c>
    </row>
    <row r="97">
      <c r="A97" s="15" t="inlineStr">
        <is>
          <t>Juvenil</t>
        </is>
      </c>
      <c r="B97" s="15" t="inlineStr">
        <is>
          <t>Sacarosa</t>
        </is>
      </c>
      <c r="C97" s="15" t="inlineStr">
        <is>
          <t>s-SLR (isóceles)</t>
        </is>
      </c>
      <c r="D97" s="15" t="n">
        <v>8</v>
      </c>
      <c r="E97" s="15" t="inlineStr">
        <is>
          <t>sac 2</t>
        </is>
      </c>
      <c r="F97" s="15" t="inlineStr">
        <is>
          <t>260724 D2 Par2 ranas</t>
        </is>
      </c>
      <c r="G97" s="15" t="inlineStr">
        <is>
          <t>SLR_Juvenil_2026.xlsx</t>
        </is>
      </c>
      <c r="H97" s="10">
        <f>IF(INDEX('S SLR'!$B$6:$AE$7,1,18)="","",INDEX('S SLR'!$B$6:$AE$7,1,18))</f>
        <v/>
      </c>
      <c r="I97" s="10">
        <f>IF(H97="","",2*H97-1)</f>
        <v/>
      </c>
    </row>
    <row r="98">
      <c r="A98" s="15" t="inlineStr">
        <is>
          <t>Juvenil</t>
        </is>
      </c>
      <c r="B98" s="15" t="inlineStr">
        <is>
          <t>Sacarosa</t>
        </is>
      </c>
      <c r="C98" s="15" t="inlineStr">
        <is>
          <t>s-SLR (isóceles)</t>
        </is>
      </c>
      <c r="D98" s="15" t="n">
        <v>9</v>
      </c>
      <c r="E98" s="15" t="inlineStr">
        <is>
          <t>sac 3</t>
        </is>
      </c>
      <c r="F98" s="15" t="inlineStr">
        <is>
          <t>260724 D2 Par2 ranas</t>
        </is>
      </c>
      <c r="G98" s="15" t="inlineStr">
        <is>
          <t>SLR_Juvenil_2026.xlsx</t>
        </is>
      </c>
      <c r="H98" s="10">
        <f>IF(INDEX('S SLR'!$B$6:$AE$7,1,19)="","",INDEX('S SLR'!$B$6:$AE$7,1,19))</f>
        <v/>
      </c>
      <c r="I98" s="10">
        <f>IF(H98="","",2*H98-1)</f>
        <v/>
      </c>
    </row>
    <row r="99">
      <c r="A99" s="15" t="inlineStr">
        <is>
          <t>Juvenil</t>
        </is>
      </c>
      <c r="B99" s="15" t="inlineStr">
        <is>
          <t>Stevia</t>
        </is>
      </c>
      <c r="C99" s="15" t="inlineStr">
        <is>
          <t>d-SLR (equilátero)</t>
        </is>
      </c>
      <c r="D99" s="15" t="n">
        <v>1</v>
      </c>
      <c r="E99" s="15" t="inlineStr">
        <is>
          <t>STE 1</t>
        </is>
      </c>
      <c r="F99" s="15" t="inlineStr">
        <is>
          <t>250606 D2 Ctrl+Stevia</t>
        </is>
      </c>
      <c r="G99" s="15" t="inlineStr">
        <is>
          <t>SLR_Juvenil_2025.xlsx</t>
        </is>
      </c>
      <c r="H99" s="10">
        <f>IF(INDEX(' D-SLR'!$B$6:$AE$7,1,21)="","",INDEX(' D-SLR'!$B$6:$AE$7,1,21))</f>
        <v/>
      </c>
      <c r="I99" s="10">
        <f>IF(H99="","",2*H99-1)</f>
        <v/>
      </c>
    </row>
    <row r="100">
      <c r="A100" s="15" t="inlineStr">
        <is>
          <t>Juvenil</t>
        </is>
      </c>
      <c r="B100" s="15" t="inlineStr">
        <is>
          <t>Stevia</t>
        </is>
      </c>
      <c r="C100" s="15" t="inlineStr">
        <is>
          <t>d-SLR (equilátero)</t>
        </is>
      </c>
      <c r="D100" s="15" t="n">
        <v>2</v>
      </c>
      <c r="E100" s="15" t="inlineStr">
        <is>
          <t>STE 2</t>
        </is>
      </c>
      <c r="F100" s="15" t="inlineStr">
        <is>
          <t>250606 D2 Ctrl+Stevia</t>
        </is>
      </c>
      <c r="G100" s="15" t="inlineStr">
        <is>
          <t>SLR_Juvenil_2025.xlsx</t>
        </is>
      </c>
      <c r="H100" s="10">
        <f>IF(INDEX(' D-SLR'!$B$6:$AE$7,1,22)="","",INDEX(' D-SLR'!$B$6:$AE$7,1,22))</f>
        <v/>
      </c>
      <c r="I100" s="10">
        <f>IF(H100="","",2*H100-1)</f>
        <v/>
      </c>
    </row>
    <row r="101">
      <c r="A101" s="15" t="inlineStr">
        <is>
          <t>Juvenil</t>
        </is>
      </c>
      <c r="B101" s="15" t="inlineStr">
        <is>
          <t>Stevia</t>
        </is>
      </c>
      <c r="C101" s="15" t="inlineStr">
        <is>
          <t>d-SLR (equilátero)</t>
        </is>
      </c>
      <c r="D101" s="15" t="n">
        <v>3</v>
      </c>
      <c r="E101" s="15" t="inlineStr">
        <is>
          <t>STE 3</t>
        </is>
      </c>
      <c r="F101" s="15" t="inlineStr">
        <is>
          <t>250606 D2 Ctrl+Stevia</t>
        </is>
      </c>
      <c r="G101" s="15" t="inlineStr">
        <is>
          <t>SLR_Juvenil_2025.xlsx</t>
        </is>
      </c>
      <c r="H101" s="10">
        <f>IF(INDEX(' D-SLR'!$B$6:$AE$7,1,23)="","",INDEX(' D-SLR'!$B$6:$AE$7,1,23))</f>
        <v/>
      </c>
      <c r="I101" s="10">
        <f>IF(H101="","",2*H101-1)</f>
        <v/>
      </c>
    </row>
    <row r="102">
      <c r="A102" s="15" t="inlineStr">
        <is>
          <t>Juvenil</t>
        </is>
      </c>
      <c r="B102" s="15" t="inlineStr">
        <is>
          <t>Stevia</t>
        </is>
      </c>
      <c r="C102" s="15" t="inlineStr">
        <is>
          <t>d-SLR (equilátero)</t>
        </is>
      </c>
      <c r="D102" s="15" t="n">
        <v>4</v>
      </c>
      <c r="E102" s="15" t="inlineStr">
        <is>
          <t>STE 4</t>
        </is>
      </c>
      <c r="F102" s="15" t="inlineStr">
        <is>
          <t>250606 D2 Ctrl+Stevia</t>
        </is>
      </c>
      <c r="G102" s="15" t="inlineStr">
        <is>
          <t>SLR_Juvenil_2025.xlsx</t>
        </is>
      </c>
      <c r="H102" s="10">
        <f>IF(INDEX(' D-SLR'!$B$6:$AE$7,1,24)="","",INDEX(' D-SLR'!$B$6:$AE$7,1,24))</f>
        <v/>
      </c>
      <c r="I102" s="10">
        <f>IF(H102="","",2*H102-1)</f>
        <v/>
      </c>
    </row>
    <row r="103">
      <c r="A103" s="15" t="inlineStr">
        <is>
          <t>Juvenil</t>
        </is>
      </c>
      <c r="B103" s="15" t="inlineStr">
        <is>
          <t>Stevia</t>
        </is>
      </c>
      <c r="C103" s="15" t="inlineStr">
        <is>
          <t>d-SLR (equilátero)</t>
        </is>
      </c>
      <c r="D103" s="15" t="n">
        <v>5</v>
      </c>
      <c r="E103" s="15" t="inlineStr">
        <is>
          <t>STE 5</t>
        </is>
      </c>
      <c r="F103" s="15" t="inlineStr">
        <is>
          <t>250606 D2 Ctrl+Stevia</t>
        </is>
      </c>
      <c r="G103" s="15" t="inlineStr">
        <is>
          <t>SLR_Juvenil_2025.xlsx</t>
        </is>
      </c>
      <c r="H103" s="10">
        <f>IF(INDEX(' D-SLR'!$B$6:$AE$7,1,25)="","",INDEX(' D-SLR'!$B$6:$AE$7,1,25))</f>
        <v/>
      </c>
      <c r="I103" s="10">
        <f>IF(H103="","",2*H103-1)</f>
        <v/>
      </c>
    </row>
    <row r="104">
      <c r="A104" s="15" t="inlineStr">
        <is>
          <t>Juvenil</t>
        </is>
      </c>
      <c r="B104" s="15" t="inlineStr">
        <is>
          <t>Stevia</t>
        </is>
      </c>
      <c r="C104" s="15" t="inlineStr">
        <is>
          <t>d-SLR (equilátero)</t>
        </is>
      </c>
      <c r="D104" s="15" t="n">
        <v>6</v>
      </c>
      <c r="E104" s="15" t="inlineStr">
        <is>
          <t>STEV 1</t>
        </is>
      </c>
      <c r="F104" s="15" t="inlineStr">
        <is>
          <t>260720 D2 Par1 vasos</t>
        </is>
      </c>
      <c r="G104" s="15" t="inlineStr">
        <is>
          <t>SLR_Juvenil_2026.xlsx</t>
        </is>
      </c>
      <c r="H104" s="10">
        <f>IF(INDEX(' D-SLR'!$B$6:$AE$7,1,26)="","",INDEX(' D-SLR'!$B$6:$AE$7,1,26))</f>
        <v/>
      </c>
      <c r="I104" s="10">
        <f>IF(H104="","",2*H104-1)</f>
        <v/>
      </c>
    </row>
    <row r="105">
      <c r="A105" s="15" t="inlineStr">
        <is>
          <t>Juvenil</t>
        </is>
      </c>
      <c r="B105" s="15" t="inlineStr">
        <is>
          <t>Stevia</t>
        </is>
      </c>
      <c r="C105" s="15" t="inlineStr">
        <is>
          <t>d-SLR (equilátero)</t>
        </is>
      </c>
      <c r="D105" s="15" t="n">
        <v>7</v>
      </c>
      <c r="E105" s="15" t="inlineStr">
        <is>
          <t>STEV 2</t>
        </is>
      </c>
      <c r="F105" s="15" t="inlineStr">
        <is>
          <t>260720 D2 Par1 vasos</t>
        </is>
      </c>
      <c r="G105" s="15" t="inlineStr">
        <is>
          <t>SLR_Juvenil_2026.xlsx</t>
        </is>
      </c>
      <c r="H105" s="10">
        <f>IF(INDEX(' D-SLR'!$B$6:$AE$7,1,27)="","",INDEX(' D-SLR'!$B$6:$AE$7,1,27))</f>
        <v/>
      </c>
      <c r="I105" s="10">
        <f>IF(H105="","",2*H105-1)</f>
        <v/>
      </c>
    </row>
    <row r="106">
      <c r="A106" s="15" t="inlineStr">
        <is>
          <t>Juvenil</t>
        </is>
      </c>
      <c r="B106" s="15" t="inlineStr">
        <is>
          <t>Stevia</t>
        </is>
      </c>
      <c r="C106" s="15" t="inlineStr">
        <is>
          <t>d-SLR (equilátero)</t>
        </is>
      </c>
      <c r="D106" s="15" t="n">
        <v>8</v>
      </c>
      <c r="E106" s="15" t="inlineStr">
        <is>
          <t>STEV 3</t>
        </is>
      </c>
      <c r="F106" s="15" t="inlineStr">
        <is>
          <t>260720 D2 Par1 vasos</t>
        </is>
      </c>
      <c r="G106" s="15" t="inlineStr">
        <is>
          <t>SLR_Juvenil_2026.xlsx</t>
        </is>
      </c>
      <c r="H106" s="10">
        <f>IF(INDEX(' D-SLR'!$B$6:$AE$7,1,28)="","",INDEX(' D-SLR'!$B$6:$AE$7,1,28))</f>
        <v/>
      </c>
      <c r="I106" s="10">
        <f>IF(H106="","",2*H106-1)</f>
        <v/>
      </c>
    </row>
    <row r="107">
      <c r="A107" s="15" t="inlineStr">
        <is>
          <t>Juvenil</t>
        </is>
      </c>
      <c r="B107" s="15" t="inlineStr">
        <is>
          <t>Stevia</t>
        </is>
      </c>
      <c r="C107" s="15" t="inlineStr">
        <is>
          <t>d-SLR (equilátero)</t>
        </is>
      </c>
      <c r="D107" s="15" t="n">
        <v>9</v>
      </c>
      <c r="E107" s="15" t="inlineStr">
        <is>
          <t>stev 4</t>
        </is>
      </c>
      <c r="F107" s="15" t="inlineStr">
        <is>
          <t>260724 D2 Par2 ranas</t>
        </is>
      </c>
      <c r="G107" s="15" t="inlineStr">
        <is>
          <t>SLR_Juvenil_2026.xlsx</t>
        </is>
      </c>
      <c r="H107" s="10">
        <f>IF(INDEX(' D-SLR'!$B$6:$AE$7,1,29)="","",INDEX(' D-SLR'!$B$6:$AE$7,1,29))</f>
        <v/>
      </c>
      <c r="I107" s="10">
        <f>IF(H107="","",2*H107-1)</f>
        <v/>
      </c>
    </row>
    <row r="108">
      <c r="A108" s="15" t="inlineStr">
        <is>
          <t>Juvenil</t>
        </is>
      </c>
      <c r="B108" s="15" t="inlineStr">
        <is>
          <t>Stevia</t>
        </is>
      </c>
      <c r="C108" s="15" t="inlineStr">
        <is>
          <t>d-SLR (equilátero)</t>
        </is>
      </c>
      <c r="D108" s="15" t="n">
        <v>10</v>
      </c>
      <c r="E108" s="15" t="inlineStr">
        <is>
          <t>stev 5</t>
        </is>
      </c>
      <c r="F108" s="15" t="inlineStr">
        <is>
          <t>260724 D2 Par2 ranas</t>
        </is>
      </c>
      <c r="G108" s="15" t="inlineStr">
        <is>
          <t>SLR_Juvenil_2026.xlsx</t>
        </is>
      </c>
      <c r="H108" s="10">
        <f>IF(INDEX(' D-SLR'!$B$6:$AE$7,1,30)="","",INDEX(' D-SLR'!$B$6:$AE$7,1,30))</f>
        <v/>
      </c>
      <c r="I108" s="10">
        <f>IF(H108="","",2*H108-1)</f>
        <v/>
      </c>
    </row>
    <row r="109">
      <c r="A109" s="15" t="inlineStr">
        <is>
          <t>Juvenil</t>
        </is>
      </c>
      <c r="B109" s="15" t="inlineStr">
        <is>
          <t>Stevia</t>
        </is>
      </c>
      <c r="C109" s="15" t="inlineStr">
        <is>
          <t>s-SLR (isóceles)</t>
        </is>
      </c>
      <c r="D109" s="15" t="n">
        <v>1</v>
      </c>
      <c r="E109" s="15" t="inlineStr">
        <is>
          <t>STE 6</t>
        </is>
      </c>
      <c r="F109" s="15" t="inlineStr">
        <is>
          <t>250606 D2 Ctrl+Stevia</t>
        </is>
      </c>
      <c r="G109" s="15" t="inlineStr">
        <is>
          <t>SLR_Juvenil_2025.xlsx</t>
        </is>
      </c>
      <c r="H109" s="10">
        <f>IF(INDEX('S SLR'!$B$6:$AE$7,1,21)="","",INDEX('S SLR'!$B$6:$AE$7,1,21))</f>
        <v/>
      </c>
      <c r="I109" s="10">
        <f>IF(H109="","",2*H109-1)</f>
        <v/>
      </c>
    </row>
    <row r="110">
      <c r="A110" s="15" t="inlineStr">
        <is>
          <t>Juvenil</t>
        </is>
      </c>
      <c r="B110" s="15" t="inlineStr">
        <is>
          <t>Stevia</t>
        </is>
      </c>
      <c r="C110" s="15" t="inlineStr">
        <is>
          <t>s-SLR (isóceles)</t>
        </is>
      </c>
      <c r="D110" s="15" t="n">
        <v>2</v>
      </c>
      <c r="E110" s="15" t="inlineStr">
        <is>
          <t>STE 7</t>
        </is>
      </c>
      <c r="F110" s="15" t="inlineStr">
        <is>
          <t>250606 D2 Ctrl+Stevia</t>
        </is>
      </c>
      <c r="G110" s="15" t="inlineStr">
        <is>
          <t>SLR_Juvenil_2025.xlsx</t>
        </is>
      </c>
      <c r="H110" s="10">
        <f>IF(INDEX('S SLR'!$B$6:$AE$7,1,22)="","",INDEX('S SLR'!$B$6:$AE$7,1,22))</f>
        <v/>
      </c>
      <c r="I110" s="10">
        <f>IF(H110="","",2*H110-1)</f>
        <v/>
      </c>
    </row>
    <row r="111">
      <c r="A111" s="15" t="inlineStr">
        <is>
          <t>Juvenil</t>
        </is>
      </c>
      <c r="B111" s="15" t="inlineStr">
        <is>
          <t>Stevia</t>
        </is>
      </c>
      <c r="C111" s="15" t="inlineStr">
        <is>
          <t>s-SLR (isóceles)</t>
        </is>
      </c>
      <c r="D111" s="15" t="n">
        <v>3</v>
      </c>
      <c r="E111" s="15" t="inlineStr">
        <is>
          <t>STE 8</t>
        </is>
      </c>
      <c r="F111" s="15" t="inlineStr">
        <is>
          <t>250606 D2 Ctrl+Stevia</t>
        </is>
      </c>
      <c r="G111" s="15" t="inlineStr">
        <is>
          <t>SLR_Juvenil_2025.xlsx</t>
        </is>
      </c>
      <c r="H111" s="10">
        <f>IF(INDEX('S SLR'!$B$6:$AE$7,1,23)="","",INDEX('S SLR'!$B$6:$AE$7,1,23))</f>
        <v/>
      </c>
      <c r="I111" s="10">
        <f>IF(H111="","",2*H111-1)</f>
        <v/>
      </c>
    </row>
    <row r="112">
      <c r="A112" s="15" t="inlineStr">
        <is>
          <t>Juvenil</t>
        </is>
      </c>
      <c r="B112" s="15" t="inlineStr">
        <is>
          <t>Stevia</t>
        </is>
      </c>
      <c r="C112" s="15" t="inlineStr">
        <is>
          <t>s-SLR (isóceles)</t>
        </is>
      </c>
      <c r="D112" s="15" t="n">
        <v>4</v>
      </c>
      <c r="E112" s="15" t="inlineStr">
        <is>
          <t>STE 9</t>
        </is>
      </c>
      <c r="F112" s="15" t="inlineStr">
        <is>
          <t>250606 D2 Ctrl+Stevia</t>
        </is>
      </c>
      <c r="G112" s="15" t="inlineStr">
        <is>
          <t>SLR_Juvenil_2025.xlsx</t>
        </is>
      </c>
      <c r="H112" s="10">
        <f>IF(INDEX('S SLR'!$B$6:$AE$7,1,24)="","",INDEX('S SLR'!$B$6:$AE$7,1,24))</f>
        <v/>
      </c>
      <c r="I112" s="10">
        <f>IF(H112="","",2*H112-1)</f>
        <v/>
      </c>
    </row>
    <row r="113">
      <c r="A113" s="15" t="inlineStr">
        <is>
          <t>Juvenil</t>
        </is>
      </c>
      <c r="B113" s="15" t="inlineStr">
        <is>
          <t>Stevia</t>
        </is>
      </c>
      <c r="C113" s="15" t="inlineStr">
        <is>
          <t>s-SLR (isóceles)</t>
        </is>
      </c>
      <c r="D113" s="15" t="n">
        <v>5</v>
      </c>
      <c r="E113" s="15" t="inlineStr">
        <is>
          <t>STE 10</t>
        </is>
      </c>
      <c r="F113" s="15" t="inlineStr">
        <is>
          <t>250606 D2 Ctrl+Stevia</t>
        </is>
      </c>
      <c r="G113" s="15" t="inlineStr">
        <is>
          <t>SLR_Juvenil_2025.xlsx</t>
        </is>
      </c>
      <c r="H113" s="10">
        <f>IF(INDEX('S SLR'!$B$6:$AE$7,1,25)="","",INDEX('S SLR'!$B$6:$AE$7,1,25))</f>
        <v/>
      </c>
      <c r="I113" s="10">
        <f>IF(H113="","",2*H113-1)</f>
        <v/>
      </c>
    </row>
    <row r="114">
      <c r="A114" s="15" t="inlineStr">
        <is>
          <t>Juvenil</t>
        </is>
      </c>
      <c r="B114" s="15" t="inlineStr">
        <is>
          <t>Stevia</t>
        </is>
      </c>
      <c r="C114" s="15" t="inlineStr">
        <is>
          <t>s-SLR (isóceles)</t>
        </is>
      </c>
      <c r="D114" s="15" t="n">
        <v>6</v>
      </c>
      <c r="E114" s="15" t="inlineStr">
        <is>
          <t>STEV 4</t>
        </is>
      </c>
      <c r="F114" s="15" t="inlineStr">
        <is>
          <t>260720 D2 Par1 vasos</t>
        </is>
      </c>
      <c r="G114" s="15" t="inlineStr">
        <is>
          <t>SLR_Juvenil_2026.xlsx</t>
        </is>
      </c>
      <c r="H114" s="10">
        <f>IF(INDEX('S SLR'!$B$6:$AE$7,1,26)="","",INDEX('S SLR'!$B$6:$AE$7,1,26))</f>
        <v/>
      </c>
      <c r="I114" s="10">
        <f>IF(H114="","",2*H114-1)</f>
        <v/>
      </c>
    </row>
    <row r="115">
      <c r="A115" s="15" t="inlineStr">
        <is>
          <t>Juvenil</t>
        </is>
      </c>
      <c r="B115" s="15" t="inlineStr">
        <is>
          <t>Stevia</t>
        </is>
      </c>
      <c r="C115" s="15" t="inlineStr">
        <is>
          <t>s-SLR (isóceles)</t>
        </is>
      </c>
      <c r="D115" s="15" t="n">
        <v>7</v>
      </c>
      <c r="E115" s="15" t="inlineStr">
        <is>
          <t>STEV 5</t>
        </is>
      </c>
      <c r="F115" s="15" t="inlineStr">
        <is>
          <t>260720 D2 Par1 vasos</t>
        </is>
      </c>
      <c r="G115" s="15" t="inlineStr">
        <is>
          <t>SLR_Juvenil_2026.xlsx</t>
        </is>
      </c>
      <c r="H115" s="10">
        <f>IF(INDEX('S SLR'!$B$6:$AE$7,1,27)="","",INDEX('S SLR'!$B$6:$AE$7,1,27))</f>
        <v/>
      </c>
      <c r="I115" s="10">
        <f>IF(H115="","",2*H115-1)</f>
        <v/>
      </c>
    </row>
    <row r="116">
      <c r="A116" s="15" t="inlineStr">
        <is>
          <t>Juvenil</t>
        </is>
      </c>
      <c r="B116" s="15" t="inlineStr">
        <is>
          <t>Stevia</t>
        </is>
      </c>
      <c r="C116" s="15" t="inlineStr">
        <is>
          <t>s-SLR (isóceles)</t>
        </is>
      </c>
      <c r="D116" s="15" t="n">
        <v>8</v>
      </c>
      <c r="E116" s="15" t="inlineStr">
        <is>
          <t>stev 1</t>
        </is>
      </c>
      <c r="F116" s="15" t="inlineStr">
        <is>
          <t>260724 D2 Par2 ranas</t>
        </is>
      </c>
      <c r="G116" s="15" t="inlineStr">
        <is>
          <t>SLR_Juvenil_2026.xlsx</t>
        </is>
      </c>
      <c r="H116" s="10">
        <f>IF(INDEX('S SLR'!$B$6:$AE$7,1,28)="","",INDEX('S SLR'!$B$6:$AE$7,1,28))</f>
        <v/>
      </c>
      <c r="I116" s="10">
        <f>IF(H116="","",2*H116-1)</f>
        <v/>
      </c>
    </row>
    <row r="117">
      <c r="A117" s="15" t="inlineStr">
        <is>
          <t>Juvenil</t>
        </is>
      </c>
      <c r="B117" s="15" t="inlineStr">
        <is>
          <t>Stevia</t>
        </is>
      </c>
      <c r="C117" s="15" t="inlineStr">
        <is>
          <t>s-SLR (isóceles)</t>
        </is>
      </c>
      <c r="D117" s="15" t="n">
        <v>9</v>
      </c>
      <c r="E117" s="15" t="inlineStr">
        <is>
          <t>stev 2</t>
        </is>
      </c>
      <c r="F117" s="15" t="inlineStr">
        <is>
          <t>260724 D2 Par2 ranas</t>
        </is>
      </c>
      <c r="G117" s="15" t="inlineStr">
        <is>
          <t>SLR_Juvenil_2026.xlsx</t>
        </is>
      </c>
      <c r="H117" s="10">
        <f>IF(INDEX('S SLR'!$B$6:$AE$7,1,29)="","",INDEX('S SLR'!$B$6:$AE$7,1,29))</f>
        <v/>
      </c>
      <c r="I117" s="10">
        <f>IF(H117="","",2*H117-1)</f>
        <v/>
      </c>
    </row>
    <row r="118">
      <c r="A118" s="15" t="inlineStr">
        <is>
          <t>Juvenil</t>
        </is>
      </c>
      <c r="B118" s="15" t="inlineStr">
        <is>
          <t>Stevia</t>
        </is>
      </c>
      <c r="C118" s="15" t="inlineStr">
        <is>
          <t>s-SLR (isóceles)</t>
        </is>
      </c>
      <c r="D118" s="15" t="n">
        <v>10</v>
      </c>
      <c r="E118" s="15" t="inlineStr">
        <is>
          <t>stev 3</t>
        </is>
      </c>
      <c r="F118" s="15" t="inlineStr">
        <is>
          <t>260724 D2 Par2 ranas</t>
        </is>
      </c>
      <c r="G118" s="15" t="inlineStr">
        <is>
          <t>SLR_Juvenil_2026.xlsx</t>
        </is>
      </c>
      <c r="H118" s="10">
        <f>IF(INDEX('S SLR'!$B$6:$AE$7,1,30)="","",INDEX('S SLR'!$B$6:$AE$7,1,30))</f>
        <v/>
      </c>
      <c r="I118" s="10">
        <f>IF(H118="","",2*H118-1)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G8" sqref="G8"/>
    </sheetView>
  </sheetViews>
  <sheetFormatPr baseColWidth="10" defaultRowHeight="14.5"/>
  <sheetData>
    <row r="1">
      <c r="A1" s="12" t="n"/>
      <c r="B1" s="12" t="n"/>
      <c r="C1" s="12" t="n"/>
      <c r="D1" s="12" t="n"/>
      <c r="E1" s="12" t="n"/>
      <c r="F1" s="12" t="n"/>
    </row>
    <row r="2">
      <c r="A2" s="9" t="inlineStr">
        <is>
          <t>Table Analyzed</t>
        </is>
      </c>
      <c r="B2" s="8" t="inlineStr">
        <is>
          <t>S-slr TASA EXPLORACIÓN</t>
        </is>
      </c>
      <c r="C2" s="8" t="n"/>
      <c r="D2" s="8" t="n"/>
      <c r="E2" s="8" t="n"/>
      <c r="F2" s="8" t="n"/>
    </row>
    <row r="3">
      <c r="A3" s="9" t="n"/>
      <c r="B3" s="8" t="n"/>
      <c r="C3" s="8" t="n"/>
      <c r="D3" s="8" t="n"/>
      <c r="E3" s="8" t="n"/>
      <c r="F3" s="8" t="n"/>
    </row>
    <row r="4">
      <c r="A4" s="9" t="inlineStr">
        <is>
          <t>Two-way ANOVA</t>
        </is>
      </c>
      <c r="B4" s="8" t="inlineStr">
        <is>
          <t>Ordinary</t>
        </is>
      </c>
      <c r="C4" s="8" t="n"/>
      <c r="D4" s="8" t="n"/>
      <c r="E4" s="8" t="n"/>
      <c r="F4" s="8" t="n"/>
    </row>
    <row r="5">
      <c r="A5" s="9" t="inlineStr">
        <is>
          <t xml:space="preserve">    Alpha</t>
        </is>
      </c>
      <c r="B5" s="8" t="n">
        <v>0.05</v>
      </c>
      <c r="C5" s="8" t="n"/>
      <c r="D5" s="8" t="n"/>
      <c r="E5" s="8" t="n"/>
      <c r="F5" s="8" t="n"/>
    </row>
    <row r="6">
      <c r="A6" s="9" t="n"/>
      <c r="B6" s="8" t="n"/>
      <c r="C6" s="8" t="n"/>
      <c r="D6" s="8" t="n"/>
      <c r="E6" s="8" t="n"/>
      <c r="F6" s="8" t="n"/>
    </row>
    <row r="7">
      <c r="A7" s="9" t="inlineStr">
        <is>
          <t>Source of Variation</t>
        </is>
      </c>
      <c r="B7" s="8" t="inlineStr">
        <is>
          <t>% of total variation</t>
        </is>
      </c>
      <c r="C7" s="8" t="inlineStr">
        <is>
          <t>P value</t>
        </is>
      </c>
      <c r="D7" s="8" t="inlineStr">
        <is>
          <t>P value summary</t>
        </is>
      </c>
      <c r="E7" s="8" t="inlineStr">
        <is>
          <t>Significant?</t>
        </is>
      </c>
      <c r="F7" s="8" t="n"/>
    </row>
    <row r="8">
      <c r="A8" s="9" t="inlineStr">
        <is>
          <t xml:space="preserve">    Interaction</t>
        </is>
      </c>
      <c r="B8" s="8" t="n">
        <v>1.567</v>
      </c>
      <c r="C8" s="8" t="n">
        <v>0.5925</v>
      </c>
      <c r="D8" s="8" t="inlineStr">
        <is>
          <t>ns</t>
        </is>
      </c>
      <c r="E8" s="8" t="inlineStr">
        <is>
          <t>No</t>
        </is>
      </c>
      <c r="F8" s="8" t="n"/>
    </row>
    <row r="9">
      <c r="A9" s="9" t="inlineStr">
        <is>
          <t xml:space="preserve">    Row Factor</t>
        </is>
      </c>
      <c r="B9" s="8" t="n">
        <v>0.1166</v>
      </c>
      <c r="C9" s="8" t="n">
        <v>0.7802</v>
      </c>
      <c r="D9" s="8" t="inlineStr">
        <is>
          <t>ns</t>
        </is>
      </c>
      <c r="E9" s="8" t="inlineStr">
        <is>
          <t>No</t>
        </is>
      </c>
      <c r="F9" s="8" t="n"/>
    </row>
    <row r="10">
      <c r="A10" s="9" t="inlineStr">
        <is>
          <t xml:space="preserve">    Column Factor</t>
        </is>
      </c>
      <c r="B10" s="8" t="n">
        <v>19.79</v>
      </c>
      <c r="C10" s="8" t="n">
        <v>0.0026</v>
      </c>
      <c r="D10" s="8" t="inlineStr">
        <is>
          <t>**</t>
        </is>
      </c>
      <c r="E10" s="8" t="inlineStr">
        <is>
          <t>Yes</t>
        </is>
      </c>
      <c r="F10" s="8" t="n"/>
    </row>
    <row r="11">
      <c r="A11" s="9" t="n"/>
      <c r="B11" s="8" t="n"/>
      <c r="C11" s="8" t="n"/>
      <c r="D11" s="8" t="n"/>
      <c r="E11" s="8" t="n"/>
      <c r="F11" s="8" t="n"/>
    </row>
    <row r="12">
      <c r="A12" s="9" t="inlineStr">
        <is>
          <t>ANOVA table</t>
        </is>
      </c>
      <c r="B12" s="8" t="inlineStr">
        <is>
          <t>SS (Type III)</t>
        </is>
      </c>
      <c r="C12" s="8" t="inlineStr">
        <is>
          <t>DF</t>
        </is>
      </c>
      <c r="D12" s="8" t="inlineStr">
        <is>
          <t>MS</t>
        </is>
      </c>
      <c r="E12" s="8" t="inlineStr">
        <is>
          <t>F (DFn, DFd)</t>
        </is>
      </c>
      <c r="F12" s="8" t="inlineStr">
        <is>
          <t>P value</t>
        </is>
      </c>
    </row>
    <row r="13">
      <c r="A13" s="9" t="inlineStr">
        <is>
          <t xml:space="preserve">    Interaction</t>
        </is>
      </c>
      <c r="B13" s="8" t="n">
        <v>0.02085</v>
      </c>
      <c r="C13" s="8" t="n">
        <v>2</v>
      </c>
      <c r="D13" s="8" t="n">
        <v>0.01043</v>
      </c>
      <c r="E13" s="8" t="inlineStr">
        <is>
          <t>F (2, 53) = 0.5286</t>
        </is>
      </c>
      <c r="F13" s="8" t="inlineStr">
        <is>
          <t>P=0.5925</t>
        </is>
      </c>
    </row>
    <row r="14">
      <c r="A14" s="9" t="inlineStr">
        <is>
          <t xml:space="preserve">    Row Factor</t>
        </is>
      </c>
      <c r="B14" s="8" t="n">
        <v>0.001551</v>
      </c>
      <c r="C14" s="8" t="n">
        <v>1</v>
      </c>
      <c r="D14" s="8" t="n">
        <v>0.001551</v>
      </c>
      <c r="E14" s="8" t="inlineStr">
        <is>
          <t>F (1, 53) = 0.07864</t>
        </is>
      </c>
      <c r="F14" s="8" t="inlineStr">
        <is>
          <t>P=0.7802</t>
        </is>
      </c>
    </row>
    <row r="15">
      <c r="A15" s="9" t="inlineStr">
        <is>
          <t xml:space="preserve">    Column Factor</t>
        </is>
      </c>
      <c r="B15" s="8" t="n">
        <v>0.2633</v>
      </c>
      <c r="C15" s="8" t="n">
        <v>2</v>
      </c>
      <c r="D15" s="8" t="n">
        <v>0.1317</v>
      </c>
      <c r="E15" s="8" t="inlineStr">
        <is>
          <t>F (2, 53) = 6.675</t>
        </is>
      </c>
      <c r="F15" s="8" t="inlineStr">
        <is>
          <t>P=0.0026</t>
        </is>
      </c>
    </row>
    <row r="16">
      <c r="A16" s="9" t="inlineStr">
        <is>
          <t xml:space="preserve">    Residual</t>
        </is>
      </c>
      <c r="B16" s="8" t="n">
        <v>1.045</v>
      </c>
      <c r="C16" s="8" t="n">
        <v>53</v>
      </c>
      <c r="D16" s="8" t="n">
        <v>0.01973</v>
      </c>
      <c r="E16" s="8" t="n"/>
      <c r="F16" s="8" t="n"/>
    </row>
    <row r="17">
      <c r="A17" s="9" t="inlineStr">
        <is>
          <t xml:space="preserve">    Total</t>
        </is>
      </c>
      <c r="B17" s="8" t="n">
        <v>1.33</v>
      </c>
      <c r="C17" s="8" t="n">
        <v>58</v>
      </c>
      <c r="D17" s="8" t="n"/>
      <c r="E17" s="8" t="n"/>
      <c r="F17" s="8" t="n"/>
    </row>
    <row r="18">
      <c r="A18" s="9" t="n"/>
      <c r="B18" s="8" t="n"/>
      <c r="C18" s="8" t="n"/>
      <c r="D18" s="8" t="n"/>
      <c r="E18" s="8" t="n"/>
      <c r="F18" s="8" t="n"/>
    </row>
    <row r="19">
      <c r="A19" s="9" t="inlineStr">
        <is>
          <t>Difference between row means</t>
        </is>
      </c>
      <c r="B19" s="8" t="n"/>
      <c r="C19" s="8" t="n"/>
      <c r="D19" s="8" t="n"/>
      <c r="E19" s="8" t="n"/>
      <c r="F19" s="8" t="n"/>
    </row>
    <row r="20">
      <c r="A20" s="9" t="inlineStr">
        <is>
          <t xml:space="preserve">    Predicted (LS) mean of Juvenil</t>
        </is>
      </c>
      <c r="B20" s="8" t="n">
        <v>0.5464</v>
      </c>
      <c r="C20" s="8" t="n"/>
      <c r="D20" s="8" t="n"/>
      <c r="E20" s="8" t="n"/>
      <c r="F20" s="8" t="n"/>
    </row>
    <row r="21">
      <c r="A21" s="9" t="inlineStr">
        <is>
          <t xml:space="preserve">    Predicted (LS) mean of Adulto</t>
        </is>
      </c>
      <c r="B21" s="8" t="n">
        <v>0.5362</v>
      </c>
      <c r="C21" s="8" t="n"/>
      <c r="D21" s="8" t="n"/>
      <c r="E21" s="8" t="n"/>
      <c r="F21" s="8" t="n"/>
    </row>
    <row r="22">
      <c r="A22" s="9" t="inlineStr">
        <is>
          <t xml:space="preserve">    Difference between predicted means</t>
        </is>
      </c>
      <c r="B22" s="8" t="n">
        <v>0.01026</v>
      </c>
      <c r="C22" s="8" t="n"/>
      <c r="D22" s="8" t="n"/>
      <c r="E22" s="8" t="n"/>
      <c r="F22" s="8" t="n"/>
    </row>
    <row r="23">
      <c r="A23" s="9" t="inlineStr">
        <is>
          <t xml:space="preserve">    SE of difference</t>
        </is>
      </c>
      <c r="B23" s="8" t="n">
        <v>0.0366</v>
      </c>
      <c r="C23" s="8" t="n"/>
      <c r="D23" s="8" t="n"/>
      <c r="E23" s="8" t="n"/>
      <c r="F23" s="8" t="n"/>
    </row>
    <row r="24">
      <c r="A24" s="9" t="inlineStr">
        <is>
          <t xml:space="preserve">    95% CI of difference</t>
        </is>
      </c>
      <c r="B24" s="8" t="inlineStr">
        <is>
          <t>-0.06314 to 0.08367</t>
        </is>
      </c>
      <c r="C24" s="8" t="n"/>
      <c r="D24" s="8" t="n"/>
      <c r="E24" s="8" t="n"/>
      <c r="F24" s="8" t="n"/>
    </row>
    <row r="25">
      <c r="A25" s="9" t="n"/>
      <c r="B25" s="8" t="n"/>
      <c r="C25" s="8" t="n"/>
      <c r="D25" s="8" t="n"/>
      <c r="E25" s="8" t="n"/>
      <c r="F25" s="8" t="n"/>
    </row>
    <row r="26">
      <c r="A26" s="9" t="inlineStr">
        <is>
          <t>Data summary</t>
        </is>
      </c>
      <c r="B26" s="8" t="n"/>
      <c r="C26" s="8" t="n"/>
      <c r="D26" s="8" t="n"/>
      <c r="E26" s="8" t="n"/>
      <c r="F26" s="8" t="n"/>
    </row>
    <row r="27">
      <c r="A27" s="9" t="inlineStr">
        <is>
          <t xml:space="preserve">    Number of columns (Column Factor)</t>
        </is>
      </c>
      <c r="B27" s="8" t="n">
        <v>3</v>
      </c>
      <c r="C27" s="8" t="n"/>
      <c r="D27" s="8" t="n"/>
      <c r="E27" s="8" t="n"/>
      <c r="F27" s="8" t="n"/>
    </row>
    <row r="28">
      <c r="A28" s="9" t="inlineStr">
        <is>
          <t xml:space="preserve">    Number of rows (Row Factor)</t>
        </is>
      </c>
      <c r="B28" s="8" t="n">
        <v>2</v>
      </c>
      <c r="C28" s="8" t="n"/>
      <c r="D28" s="8" t="n"/>
      <c r="E28" s="8" t="n"/>
      <c r="F28" s="8" t="n"/>
    </row>
    <row r="29">
      <c r="A29" s="9" t="inlineStr">
        <is>
          <t xml:space="preserve">    Number of values</t>
        </is>
      </c>
      <c r="B29" s="8" t="n">
        <v>59</v>
      </c>
      <c r="C29" s="8" t="n"/>
      <c r="D29" s="8" t="n"/>
      <c r="E29" s="8" t="n"/>
      <c r="F29" s="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K43" sqref="K43"/>
    </sheetView>
  </sheetViews>
  <sheetFormatPr baseColWidth="10" defaultRowHeight="14.5"/>
  <sheetData>
    <row r="1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</row>
    <row r="2">
      <c r="A2" s="9" t="inlineStr">
        <is>
          <t>Compare cell means with others in its row and its column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9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9" t="inlineStr">
        <is>
          <t>Number of families</t>
        </is>
      </c>
      <c r="B4" s="8" t="n">
        <v>5</v>
      </c>
      <c r="C4" s="8" t="n"/>
      <c r="D4" s="8" t="n"/>
      <c r="E4" s="8" t="n"/>
      <c r="F4" s="8" t="n"/>
      <c r="G4" s="8" t="inlineStr">
        <is>
          <t>multiple comparisons</t>
        </is>
      </c>
      <c r="H4" s="8" t="n"/>
      <c r="I4" s="8" t="n"/>
    </row>
    <row r="5">
      <c r="A5" s="9" t="inlineStr">
        <is>
          <t>Number of comparisons per row family</t>
        </is>
      </c>
      <c r="B5" s="8" t="n">
        <v>3</v>
      </c>
      <c r="C5" s="8" t="n"/>
      <c r="D5" s="8" t="n"/>
      <c r="E5" s="8" t="n"/>
      <c r="F5" s="8" t="n"/>
      <c r="G5" s="8" t="n"/>
      <c r="H5" s="8" t="n"/>
      <c r="I5" s="8" t="n"/>
    </row>
    <row r="6">
      <c r="A6" s="9" t="inlineStr">
        <is>
          <t>Number of comparisons per column family</t>
        </is>
      </c>
      <c r="B6" s="8" t="n">
        <v>1</v>
      </c>
      <c r="C6" s="8" t="n"/>
      <c r="D6" s="8" t="n"/>
      <c r="E6" s="8" t="n"/>
      <c r="F6" s="8" t="n"/>
      <c r="G6" s="8" t="n"/>
      <c r="H6" s="8" t="n"/>
      <c r="I6" s="8" t="n"/>
    </row>
    <row r="7">
      <c r="A7" s="9" t="inlineStr">
        <is>
          <t>Alpha</t>
        </is>
      </c>
      <c r="B7" s="8" t="n">
        <v>0.05</v>
      </c>
      <c r="C7" s="8" t="n"/>
      <c r="D7" s="8" t="n"/>
      <c r="E7" s="8" t="n"/>
      <c r="F7" s="8" t="n"/>
      <c r="G7" s="8" t="n"/>
      <c r="H7" s="8" t="n"/>
      <c r="I7" s="8" t="n"/>
    </row>
    <row r="8">
      <c r="A8" s="9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9" t="inlineStr">
        <is>
          <t>Tukey's multiple comparisons test</t>
        </is>
      </c>
      <c r="B9" s="8" t="inlineStr">
        <is>
          <t>Predicted (LS) Mean diff.</t>
        </is>
      </c>
      <c r="C9" s="8" t="inlineStr">
        <is>
          <t>95.00% CI of diff.</t>
        </is>
      </c>
      <c r="D9" s="8" t="inlineStr">
        <is>
          <t>Below threshold?</t>
        </is>
      </c>
      <c r="E9" s="8" t="inlineStr">
        <is>
          <t>Summary</t>
        </is>
      </c>
      <c r="F9" s="8" t="inlineStr">
        <is>
          <t>Adjusted P Value</t>
        </is>
      </c>
      <c r="G9" s="8" t="n"/>
      <c r="H9" s="8" t="n"/>
      <c r="I9" s="8" t="n"/>
    </row>
    <row r="10">
      <c r="A10" s="9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9" t="inlineStr">
        <is>
          <t xml:space="preserve">  Adulto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9" t="inlineStr">
        <is>
          <t xml:space="preserve">    Control vs. Sacarosa</t>
        </is>
      </c>
      <c r="B12" s="8" t="n">
        <v>0.1631</v>
      </c>
      <c r="C12" s="8" t="inlineStr">
        <is>
          <t>0.01165 to 0.3146</t>
        </is>
      </c>
      <c r="D12" s="8" t="inlineStr">
        <is>
          <t>Yes</t>
        </is>
      </c>
      <c r="E12" s="8" t="inlineStr">
        <is>
          <t>*</t>
        </is>
      </c>
      <c r="F12" s="8" t="n">
        <v>0.0321</v>
      </c>
      <c r="G12" s="8" t="n"/>
      <c r="H12" s="8" t="n"/>
      <c r="I12" s="8" t="n"/>
    </row>
    <row r="13">
      <c r="A13" s="9" t="inlineStr">
        <is>
          <t xml:space="preserve">    Control vs. Stevia</t>
        </is>
      </c>
      <c r="B13" s="8" t="n">
        <v>0.095</v>
      </c>
      <c r="C13" s="8" t="inlineStr">
        <is>
          <t>-0.05645 to 0.2465</t>
        </is>
      </c>
      <c r="D13" s="8" t="inlineStr">
        <is>
          <t>No</t>
        </is>
      </c>
      <c r="E13" s="8" t="inlineStr">
        <is>
          <t>ns</t>
        </is>
      </c>
      <c r="F13" s="8" t="n">
        <v>0.2933</v>
      </c>
      <c r="G13" s="8" t="n"/>
      <c r="H13" s="8" t="n"/>
      <c r="I13" s="8" t="n"/>
    </row>
    <row r="14">
      <c r="A14" s="9" t="inlineStr">
        <is>
          <t xml:space="preserve">    Sacarosa vs. Stevia</t>
        </is>
      </c>
      <c r="B14" s="8" t="n">
        <v>-0.06809999999999999</v>
      </c>
      <c r="C14" s="8" t="inlineStr">
        <is>
          <t>-0.2196 to 0.08335</t>
        </is>
      </c>
      <c r="D14" s="8" t="inlineStr">
        <is>
          <t>No</t>
        </is>
      </c>
      <c r="E14" s="8" t="inlineStr">
        <is>
          <t>ns</t>
        </is>
      </c>
      <c r="F14" s="8" t="n">
        <v>0.528</v>
      </c>
      <c r="G14" s="8" t="n"/>
      <c r="H14" s="8" t="n"/>
      <c r="I14" s="8" t="n"/>
    </row>
    <row r="15">
      <c r="A15" s="9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9" t="inlineStr">
        <is>
          <t xml:space="preserve">  Juvenil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9" t="inlineStr">
        <is>
          <t xml:space="preserve">    Control vs. Sacarosa</t>
        </is>
      </c>
      <c r="B17" s="8" t="n">
        <v>0.1611</v>
      </c>
      <c r="C17" s="8" t="inlineStr">
        <is>
          <t>0.005507 to 0.3167</t>
        </is>
      </c>
      <c r="D17" s="8" t="inlineStr">
        <is>
          <t>Yes</t>
        </is>
      </c>
      <c r="E17" s="8" t="inlineStr">
        <is>
          <t>*</t>
        </is>
      </c>
      <c r="F17" s="8" t="n">
        <v>0.0409</v>
      </c>
      <c r="G17" s="8" t="n"/>
      <c r="H17" s="8" t="n"/>
      <c r="I17" s="8" t="n"/>
    </row>
    <row r="18">
      <c r="A18" s="9" t="inlineStr">
        <is>
          <t xml:space="preserve">    Control vs. Stevia</t>
        </is>
      </c>
      <c r="B18" s="8" t="n">
        <v>0.0146</v>
      </c>
      <c r="C18" s="8" t="inlineStr">
        <is>
          <t>-0.1369 to 0.1661</t>
        </is>
      </c>
      <c r="D18" s="8" t="inlineStr">
        <is>
          <t>No</t>
        </is>
      </c>
      <c r="E18" s="8" t="inlineStr">
        <is>
          <t>ns</t>
        </is>
      </c>
      <c r="F18" s="8" t="n">
        <v>0.9707</v>
      </c>
      <c r="G18" s="8" t="n"/>
      <c r="H18" s="8" t="n"/>
      <c r="I18" s="8" t="n"/>
    </row>
    <row r="19">
      <c r="A19" s="9" t="inlineStr">
        <is>
          <t xml:space="preserve">    Sacarosa vs. Stevia</t>
        </is>
      </c>
      <c r="B19" s="8" t="n">
        <v>-0.1465</v>
      </c>
      <c r="C19" s="8" t="inlineStr">
        <is>
          <t>-0.3021 to 0.009093</t>
        </is>
      </c>
      <c r="D19" s="8" t="inlineStr">
        <is>
          <t>No</t>
        </is>
      </c>
      <c r="E19" s="8" t="inlineStr">
        <is>
          <t>ns</t>
        </is>
      </c>
      <c r="F19" s="8" t="n">
        <v>0.0689</v>
      </c>
      <c r="G19" s="8" t="n"/>
      <c r="H19" s="8" t="n"/>
      <c r="I19" s="8" t="n"/>
    </row>
    <row r="20">
      <c r="A20" s="9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9" t="inlineStr">
        <is>
          <t xml:space="preserve">  Control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9" t="inlineStr">
        <is>
          <t xml:space="preserve">    Juvenil vs. Adulto</t>
        </is>
      </c>
      <c r="B22" s="8" t="n">
        <v>-0.0172</v>
      </c>
      <c r="C22" s="8" t="inlineStr">
        <is>
          <t>-0.1432 to 0.1088</t>
        </is>
      </c>
      <c r="D22" s="8" t="inlineStr">
        <is>
          <t>No</t>
        </is>
      </c>
      <c r="E22" s="8" t="inlineStr">
        <is>
          <t>ns</t>
        </is>
      </c>
      <c r="F22" s="8" t="n">
        <v>0.7853</v>
      </c>
      <c r="G22" s="8" t="n"/>
      <c r="H22" s="8" t="n"/>
      <c r="I22" s="8" t="n"/>
    </row>
    <row r="23">
      <c r="A23" s="9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inlineStr">
        <is>
          <t xml:space="preserve">  Sacarosa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9" t="inlineStr">
        <is>
          <t xml:space="preserve">    Juvenil vs. Adulto</t>
        </is>
      </c>
      <c r="B25" s="8" t="n">
        <v>-0.01521</v>
      </c>
      <c r="C25" s="8" t="inlineStr">
        <is>
          <t>-0.1446 to 0.1142</t>
        </is>
      </c>
      <c r="D25" s="8" t="inlineStr">
        <is>
          <t>No</t>
        </is>
      </c>
      <c r="E25" s="8" t="inlineStr">
        <is>
          <t>ns</t>
        </is>
      </c>
      <c r="F25" s="8" t="n">
        <v>0.8146</v>
      </c>
      <c r="G25" s="8" t="n"/>
      <c r="H25" s="8" t="n"/>
      <c r="I25" s="8" t="n"/>
    </row>
    <row r="26">
      <c r="A26" s="9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9" t="inlineStr">
        <is>
          <t xml:space="preserve">  Stevia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9" t="inlineStr">
        <is>
          <t xml:space="preserve">    Juvenil vs. Adulto</t>
        </is>
      </c>
      <c r="B28" s="8" t="n">
        <v>0.06320000000000001</v>
      </c>
      <c r="C28" s="8" t="inlineStr">
        <is>
          <t>-0.06278 to 0.1892</t>
        </is>
      </c>
      <c r="D28" s="8" t="inlineStr">
        <is>
          <t>No</t>
        </is>
      </c>
      <c r="E28" s="8" t="inlineStr">
        <is>
          <t>ns</t>
        </is>
      </c>
      <c r="F28" s="8" t="n">
        <v>0.3189</v>
      </c>
      <c r="G28" s="8" t="n"/>
      <c r="H28" s="8" t="n"/>
      <c r="I28" s="8" t="n"/>
    </row>
    <row r="29">
      <c r="A29" s="9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9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9" t="inlineStr">
        <is>
          <t>Test details</t>
        </is>
      </c>
      <c r="B31" s="8" t="inlineStr">
        <is>
          <t>Predicted (LS) Mean 1</t>
        </is>
      </c>
      <c r="C31" s="8" t="inlineStr">
        <is>
          <t>Predicted (LS) Mean 2</t>
        </is>
      </c>
      <c r="D31" s="8" t="inlineStr">
        <is>
          <t>Predicted (LS) Mean diff.</t>
        </is>
      </c>
      <c r="E31" s="8" t="inlineStr">
        <is>
          <t>SE of diff.</t>
        </is>
      </c>
      <c r="F31" s="8" t="inlineStr">
        <is>
          <t>N1</t>
        </is>
      </c>
      <c r="G31" s="8" t="inlineStr">
        <is>
          <t>N2</t>
        </is>
      </c>
      <c r="H31" s="8" t="inlineStr">
        <is>
          <t>q</t>
        </is>
      </c>
      <c r="I31" s="8" t="inlineStr">
        <is>
          <t>DF</t>
        </is>
      </c>
    </row>
    <row r="32">
      <c r="A32" s="9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9" t="inlineStr">
        <is>
          <t xml:space="preserve">  Adulto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9" t="inlineStr">
        <is>
          <t xml:space="preserve">    Control vs. Sacarosa</t>
        </is>
      </c>
      <c r="B34" s="8" t="n">
        <v>0.6222</v>
      </c>
      <c r="C34" s="8" t="n">
        <v>0.4591</v>
      </c>
      <c r="D34" s="8" t="n">
        <v>0.1631</v>
      </c>
      <c r="E34" s="8" t="n">
        <v>0.06281</v>
      </c>
      <c r="F34" s="8" t="n">
        <v>10</v>
      </c>
      <c r="G34" s="8" t="n">
        <v>10</v>
      </c>
      <c r="H34" s="8" t="n">
        <v>3.672</v>
      </c>
      <c r="I34" s="8" t="n">
        <v>53</v>
      </c>
    </row>
    <row r="35">
      <c r="A35" s="9" t="inlineStr">
        <is>
          <t xml:space="preserve">    Control vs. Stevia</t>
        </is>
      </c>
      <c r="B35" s="8" t="n">
        <v>0.6222</v>
      </c>
      <c r="C35" s="8" t="n">
        <v>0.5272</v>
      </c>
      <c r="D35" s="8" t="n">
        <v>0.095</v>
      </c>
      <c r="E35" s="8" t="n">
        <v>0.06281</v>
      </c>
      <c r="F35" s="8" t="n">
        <v>10</v>
      </c>
      <c r="G35" s="8" t="n">
        <v>10</v>
      </c>
      <c r="H35" s="8" t="n">
        <v>2.139</v>
      </c>
      <c r="I35" s="8" t="n">
        <v>53</v>
      </c>
    </row>
    <row r="36">
      <c r="A36" s="9" t="inlineStr">
        <is>
          <t xml:space="preserve">    Sacarosa vs. Stevia</t>
        </is>
      </c>
      <c r="B36" s="8" t="n">
        <v>0.4591</v>
      </c>
      <c r="C36" s="8" t="n">
        <v>0.5272</v>
      </c>
      <c r="D36" s="8" t="n">
        <v>-0.06809999999999999</v>
      </c>
      <c r="E36" s="8" t="n">
        <v>0.06281</v>
      </c>
      <c r="F36" s="8" t="n">
        <v>10</v>
      </c>
      <c r="G36" s="8" t="n">
        <v>10</v>
      </c>
      <c r="H36" s="8" t="n">
        <v>1.533</v>
      </c>
      <c r="I36" s="8" t="n">
        <v>53</v>
      </c>
    </row>
    <row r="37">
      <c r="A37" s="9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9" t="inlineStr">
        <is>
          <t xml:space="preserve">  Juvenil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9" t="inlineStr">
        <is>
          <t xml:space="preserve">    Control vs. Sacarosa</t>
        </is>
      </c>
      <c r="B39" s="8" t="n">
        <v>0.605</v>
      </c>
      <c r="C39" s="8" t="n">
        <v>0.4439</v>
      </c>
      <c r="D39" s="8" t="n">
        <v>0.1611</v>
      </c>
      <c r="E39" s="8" t="n">
        <v>0.06453</v>
      </c>
      <c r="F39" s="8" t="n">
        <v>10</v>
      </c>
      <c r="G39" s="8" t="n">
        <v>9</v>
      </c>
      <c r="H39" s="8" t="n">
        <v>3.531</v>
      </c>
      <c r="I39" s="8" t="n">
        <v>53</v>
      </c>
    </row>
    <row r="40">
      <c r="A40" s="9" t="inlineStr">
        <is>
          <t xml:space="preserve">    Control vs. Stevia</t>
        </is>
      </c>
      <c r="B40" s="8" t="n">
        <v>0.605</v>
      </c>
      <c r="C40" s="8" t="n">
        <v>0.5904</v>
      </c>
      <c r="D40" s="8" t="n">
        <v>0.0146</v>
      </c>
      <c r="E40" s="8" t="n">
        <v>0.06281</v>
      </c>
      <c r="F40" s="8" t="n">
        <v>10</v>
      </c>
      <c r="G40" s="8" t="n">
        <v>10</v>
      </c>
      <c r="H40" s="8" t="n">
        <v>0.3287</v>
      </c>
      <c r="I40" s="8" t="n">
        <v>53</v>
      </c>
    </row>
    <row r="41">
      <c r="A41" s="9" t="inlineStr">
        <is>
          <t xml:space="preserve">    Sacarosa vs. Stevia</t>
        </is>
      </c>
      <c r="B41" s="8" t="n">
        <v>0.4439</v>
      </c>
      <c r="C41" s="8" t="n">
        <v>0.5904</v>
      </c>
      <c r="D41" s="8" t="n">
        <v>-0.1465</v>
      </c>
      <c r="E41" s="8" t="n">
        <v>0.06453</v>
      </c>
      <c r="F41" s="8" t="n">
        <v>9</v>
      </c>
      <c r="G41" s="8" t="n">
        <v>10</v>
      </c>
      <c r="H41" s="8" t="n">
        <v>3.211</v>
      </c>
      <c r="I41" s="8" t="n">
        <v>53</v>
      </c>
    </row>
    <row r="42">
      <c r="A42" s="9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9" t="inlineStr">
        <is>
          <t xml:space="preserve">  Control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9" t="inlineStr">
        <is>
          <t xml:space="preserve">    Juvenil vs. Adulto</t>
        </is>
      </c>
      <c r="B44" s="8" t="n">
        <v>0.605</v>
      </c>
      <c r="C44" s="8" t="n">
        <v>0.6222</v>
      </c>
      <c r="D44" s="8" t="n">
        <v>-0.0172</v>
      </c>
      <c r="E44" s="8" t="n">
        <v>0.06281</v>
      </c>
      <c r="F44" s="8" t="n">
        <v>10</v>
      </c>
      <c r="G44" s="8" t="n">
        <v>10</v>
      </c>
      <c r="H44" s="8" t="n">
        <v>0.3873</v>
      </c>
      <c r="I44" s="8" t="n">
        <v>53</v>
      </c>
    </row>
    <row r="45">
      <c r="A45" s="9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9" t="inlineStr">
        <is>
          <t xml:space="preserve">  Sacarosa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9" t="inlineStr">
        <is>
          <t xml:space="preserve">    Juvenil vs. Adulto</t>
        </is>
      </c>
      <c r="B47" s="8" t="n">
        <v>0.4439</v>
      </c>
      <c r="C47" s="8" t="n">
        <v>0.4591</v>
      </c>
      <c r="D47" s="8" t="n">
        <v>-0.01521</v>
      </c>
      <c r="E47" s="8" t="n">
        <v>0.06453</v>
      </c>
      <c r="F47" s="8" t="n">
        <v>9</v>
      </c>
      <c r="G47" s="8" t="n">
        <v>10</v>
      </c>
      <c r="H47" s="8" t="n">
        <v>0.3333</v>
      </c>
      <c r="I47" s="8" t="n">
        <v>53</v>
      </c>
    </row>
    <row r="48">
      <c r="A48" s="9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9" t="inlineStr">
        <is>
          <t xml:space="preserve">  Stevia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9" t="inlineStr">
        <is>
          <t xml:space="preserve">    Juvenil vs. Adulto</t>
        </is>
      </c>
      <c r="B50" s="8" t="n">
        <v>0.5904</v>
      </c>
      <c r="C50" s="8" t="n">
        <v>0.5272</v>
      </c>
      <c r="D50" s="8" t="n">
        <v>0.06320000000000001</v>
      </c>
      <c r="E50" s="8" t="n">
        <v>0.06281</v>
      </c>
      <c r="F50" s="8" t="n">
        <v>10</v>
      </c>
      <c r="G50" s="8" t="n">
        <v>10</v>
      </c>
      <c r="H50" s="8" t="n">
        <v>1.423</v>
      </c>
      <c r="I50" s="8" t="n">
        <v>53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2026-09-18T12:50:13Z</dcterms:created>
  <dcterms:modified xsi:type="dcterms:W3CDTF">2026-10-16T21:35:01Z</dcterms:modified>
  <cp:lastModifiedBy>THIAGO SAYEGH</cp:lastModifiedBy>
  <cp:revision>0</cp:revision>
</cp:coreProperties>
</file>
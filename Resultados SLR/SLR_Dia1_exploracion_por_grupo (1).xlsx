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1" sheetId="1" state="visible" r:id="rId3"/>
    <sheet name="Datos por animal" sheetId="2" state="visible" r:id="rId4"/>
    <sheet name="Prism" sheetId="3" state="visible" r:id="rId5"/>
  </sheets>
  <definedNames>
    <definedName function="false" hidden="true" localSheetId="1" name="_xlnm._FilterDatabase" vbProcedure="false">'Datos por animal'!$A$4:$Q$121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<sst xmlns="http://schemas.openxmlformats.org/spreadsheetml/2006/main" count="1373" uniqueCount="199">
  <si>
    <t xml:space="preserve">SLR – Día 1 (muestreo): exploración total y preferencia de posición por grupo</t>
  </si>
  <si>
    <t xml:space="preserve">Qué es</t>
  </si>
  <si>
    <t xml:space="preserve">Control de la fase de codificación. El día 1 hay tres objetos idénticos y ninguno es novedoso, así que no se calcula DI: se verifica que los grupos hayan explorado de forma comparable y sin preferencia previa por una posición.</t>
  </si>
  <si>
    <t xml:space="preserve">Exploración total D1</t>
  </si>
  <si>
    <t xml:space="preserve">Suma del tiempo explorando los tres objetos (s). Todas las sesiones del día 1 duran 10 min, así que es comparable entre grupos (no con el día 2, que dura 5 min y tiene 2 objetos).</t>
  </si>
  <si>
    <t xml:space="preserve">% en objeto fijo</t>
  </si>
  <si>
    <t xml:space="preserve">Tiempo en el objeto que queda en su lugar en el test (será el familiar) / exploración total. Azar = 33,3 %. Valores por encima indican que el grupo ya prefería esa posición antes del test.</t>
  </si>
  <si>
    <t xml:space="preserve">n</t>
  </si>
  <si>
    <t xml:space="preserve">Animales por grupo y configuración (cada animal aparece una vez por configuración), igual que en el análisis del día 2.</t>
  </si>
  <si>
    <t xml:space="preserve">Grupo</t>
  </si>
  <si>
    <t xml:space="preserve">d-SLR (equilátero)</t>
  </si>
  <si>
    <t xml:space="preserve">s-SLR (isósceles)</t>
  </si>
  <si>
    <t xml:space="preserve">Exploración total (s)</t>
  </si>
  <si>
    <t xml:space="preserve">Juvenil – Control</t>
  </si>
  <si>
    <t xml:space="preserve">Juvenil – Sacarosa</t>
  </si>
  <si>
    <t xml:space="preserve">Juvenil – Stevia</t>
  </si>
  <si>
    <t xml:space="preserve">Adulto – Control</t>
  </si>
  <si>
    <t xml:space="preserve">Adulto – Sacarosa</t>
  </si>
  <si>
    <t xml:space="preserve">Adulto – Stevia</t>
  </si>
  <si>
    <t xml:space="preserve">Valores: media del grupo (sin SEM ni estadística). Datos individuales en "Datos por animal"; columnas listas para pegar en Prism en la pestaña "Prism".</t>
  </si>
  <si>
    <t xml:space="preserve">Asignación de grupos: Juvenil – Control incluye los lotes de junio y octubre 2025; Adulto – Control, mayo y diciembre 2025; Sacarosa y Stevia incluyen las cohortes 2024/2025 y 2026.</t>
  </si>
  <si>
    <t xml:space="preserve">Objeto fijo asumido (no anotado en la hoja original): Zona 2 en la tanda equilátero del 08/05/2025; Zona 1 en equilátero de adultos 2026 y del par 1 juvenil 2026. A confirmar.</t>
  </si>
  <si>
    <t xml:space="preserve">Hay 8 sesiones de menos de ~10 min (cortes anticipados del registro, de 402 a 589 s) y 5 sin dato de duración (control juvenil oct 2025, vasos), marcadas en "Datos por animal"; no se excluyeron.</t>
  </si>
  <si>
    <t xml:space="preserve">Excluido 1 registro duplicado: "con 1 raya" (repetición del muestreo de con 1, adulto mayo 2025).</t>
  </si>
  <si>
    <t xml:space="preserve">SLR – Día 1 (muestreo, 3 objetos idénticos) – datos por animal</t>
  </si>
  <si>
    <t xml:space="preserve">Una fila por animal y configuración. Columnas L–N: tiempo de exploración manual (time pressed de AnyMaze©) de cada objeto. Celdas amarillas = fórmulas. Sin exclusiones por umbral; valores tal cual del registro.</t>
  </si>
  <si>
    <t xml:space="preserve">Edad</t>
  </si>
  <si>
    <t xml:space="preserve">Tratamiento</t>
  </si>
  <si>
    <t xml:space="preserve">Configuración</t>
  </si>
  <si>
    <t xml:space="preserve">Lote / cohorte</t>
  </si>
  <si>
    <t xml:space="preserve">Objetos</t>
  </si>
  <si>
    <t xml:space="preserve">Fecha D1</t>
  </si>
  <si>
    <t xml:space="preserve">Pestaña de origen</t>
  </si>
  <si>
    <t xml:space="preserve">Animal (etiqueta original)</t>
  </si>
  <si>
    <t xml:space="preserve">Duración sesión (s)</t>
  </si>
  <si>
    <t xml:space="preserve">Zona del objeto fijo</t>
  </si>
  <si>
    <t xml:space="preserve">t objeto fijo (s)
(queda en el test)</t>
  </si>
  <si>
    <t xml:space="preserve">t objeto desplazado 1 (s)</t>
  </si>
  <si>
    <t xml:space="preserve">t objeto desplazado 2 (s)</t>
  </si>
  <si>
    <t xml:space="preserve">Exploración total D1 (s)</t>
  </si>
  <si>
    <t xml:space="preserve">% tiempo en objeto fijo</t>
  </si>
  <si>
    <t xml:space="preserve">Zonas de los objetos desplazados</t>
  </si>
  <si>
    <t xml:space="preserve">Juvenil</t>
  </si>
  <si>
    <t xml:space="preserve">Control</t>
  </si>
  <si>
    <t xml:space="preserve">Ctrl/Stevia jun 2025</t>
  </si>
  <si>
    <t xml:space="preserve">—</t>
  </si>
  <si>
    <t xml:space="preserve">05/06/2025</t>
  </si>
  <si>
    <t xml:space="preserve">250605 D1 Ctrl+Stevia</t>
  </si>
  <si>
    <t xml:space="preserve">CON 1</t>
  </si>
  <si>
    <t xml:space="preserve">Zona 1</t>
  </si>
  <si>
    <t xml:space="preserve">Zona 2 / Zona 3</t>
  </si>
  <si>
    <t xml:space="preserve">CON 2</t>
  </si>
  <si>
    <t xml:space="preserve">CON 3</t>
  </si>
  <si>
    <t xml:space="preserve">CON 4</t>
  </si>
  <si>
    <t xml:space="preserve">Control oct 2025</t>
  </si>
  <si>
    <t xml:space="preserve">Vasos</t>
  </si>
  <si>
    <t xml:space="preserve">30/10/2025</t>
  </si>
  <si>
    <t xml:space="preserve">251030 D1 Ctrl-oct vasos</t>
  </si>
  <si>
    <t xml:space="preserve">1</t>
  </si>
  <si>
    <t xml:space="preserve">sin dato</t>
  </si>
  <si>
    <t xml:space="preserve">2</t>
  </si>
  <si>
    <t xml:space="preserve">3</t>
  </si>
  <si>
    <t xml:space="preserve">Ranas</t>
  </si>
  <si>
    <t xml:space="preserve">03/11/2025</t>
  </si>
  <si>
    <t xml:space="preserve">251103 D1 Ctrl-oct ranas</t>
  </si>
  <si>
    <t xml:space="preserve">4</t>
  </si>
  <si>
    <t xml:space="preserve">Zona 2EQ / Zona 3EQ</t>
  </si>
  <si>
    <t xml:space="preserve">5</t>
  </si>
  <si>
    <t xml:space="preserve">con 5</t>
  </si>
  <si>
    <t xml:space="preserve">con 6</t>
  </si>
  <si>
    <t xml:space="preserve">con 7</t>
  </si>
  <si>
    <t xml:space="preserve">con 8</t>
  </si>
  <si>
    <t xml:space="preserve">con 9</t>
  </si>
  <si>
    <t xml:space="preserve">Zona 2B / Zona 3B</t>
  </si>
  <si>
    <t xml:space="preserve">Sacarosa</t>
  </si>
  <si>
    <t xml:space="preserve">Sacarosa jun 2025</t>
  </si>
  <si>
    <t xml:space="preserve">26/06/2025</t>
  </si>
  <si>
    <t xml:space="preserve">250626 D1 Sacarosa</t>
  </si>
  <si>
    <t xml:space="preserve">Zona 2</t>
  </si>
  <si>
    <t xml:space="preserve">Zona 1 / Zona 3</t>
  </si>
  <si>
    <t xml:space="preserve">Sac/Stevia 2026 par 1</t>
  </si>
  <si>
    <t xml:space="preserve">19/07/2026</t>
  </si>
  <si>
    <t xml:space="preserve">260719 D1 Par1 vasos</t>
  </si>
  <si>
    <t xml:space="preserve">JUV SAC 1</t>
  </si>
  <si>
    <t xml:space="preserve">ZONA 1</t>
  </si>
  <si>
    <t xml:space="preserve">ZONA 2 / ZONA 3</t>
  </si>
  <si>
    <t xml:space="preserve">JUV SAC 2</t>
  </si>
  <si>
    <t xml:space="preserve">JUV SAC 3</t>
  </si>
  <si>
    <t xml:space="preserve">Sac/Stevia 2026 par 2</t>
  </si>
  <si>
    <t xml:space="preserve">23/07/2026</t>
  </si>
  <si>
    <t xml:space="preserve">260723 D1 Par2 ranas</t>
  </si>
  <si>
    <t xml:space="preserve">sac 4</t>
  </si>
  <si>
    <t xml:space="preserve">Zona 3</t>
  </si>
  <si>
    <t xml:space="preserve">Zona 2 / Zona 1</t>
  </si>
  <si>
    <t xml:space="preserve">sac 5</t>
  </si>
  <si>
    <t xml:space="preserve">6</t>
  </si>
  <si>
    <t xml:space="preserve">7</t>
  </si>
  <si>
    <t xml:space="preserve">8</t>
  </si>
  <si>
    <t xml:space="preserve">sac 1</t>
  </si>
  <si>
    <t xml:space="preserve">sac 2</t>
  </si>
  <si>
    <t xml:space="preserve">sac 3</t>
  </si>
  <si>
    <t xml:space="preserve">JUV SAC 4</t>
  </si>
  <si>
    <t xml:space="preserve">JUV SAC 5</t>
  </si>
  <si>
    <t xml:space="preserve">Stevia</t>
  </si>
  <si>
    <t xml:space="preserve">ste 1</t>
  </si>
  <si>
    <t xml:space="preserve">ste 2</t>
  </si>
  <si>
    <t xml:space="preserve">ste 3</t>
  </si>
  <si>
    <t xml:space="preserve">ste 4</t>
  </si>
  <si>
    <t xml:space="preserve">ste 5</t>
  </si>
  <si>
    <t xml:space="preserve">JUV STEV 1</t>
  </si>
  <si>
    <t xml:space="preserve">JUV STEV 2</t>
  </si>
  <si>
    <t xml:space="preserve">JUV STEV 3</t>
  </si>
  <si>
    <t xml:space="preserve">stev 4</t>
  </si>
  <si>
    <t xml:space="preserve">stev 5</t>
  </si>
  <si>
    <t xml:space="preserve">ste 6</t>
  </si>
  <si>
    <t xml:space="preserve">ste 7</t>
  </si>
  <si>
    <t xml:space="preserve">ste 8</t>
  </si>
  <si>
    <t xml:space="preserve">ste 9</t>
  </si>
  <si>
    <t xml:space="preserve">ste 10</t>
  </si>
  <si>
    <t xml:space="preserve">stev 1</t>
  </si>
  <si>
    <t xml:space="preserve">stev 2</t>
  </si>
  <si>
    <t xml:space="preserve">stev 3</t>
  </si>
  <si>
    <t xml:space="preserve">JUV STEV 4</t>
  </si>
  <si>
    <t xml:space="preserve">JUV STEV 5</t>
  </si>
  <si>
    <t xml:space="preserve">Adulto</t>
  </si>
  <si>
    <t xml:space="preserve">Ctrl/Sac mayo 2025</t>
  </si>
  <si>
    <t xml:space="preserve">08/05/2025</t>
  </si>
  <si>
    <t xml:space="preserve">250508 D1 CtrlSac equil</t>
  </si>
  <si>
    <t xml:space="preserve">con 1</t>
  </si>
  <si>
    <t xml:space="preserve">ZONA 2</t>
  </si>
  <si>
    <t xml:space="preserve">ZONA 1 / ZONA 3</t>
  </si>
  <si>
    <t xml:space="preserve">con 2</t>
  </si>
  <si>
    <t xml:space="preserve">con 3</t>
  </si>
  <si>
    <t xml:space="preserve">con 4</t>
  </si>
  <si>
    <t xml:space="preserve">Control dic 2025</t>
  </si>
  <si>
    <t xml:space="preserve">18/12/2025</t>
  </si>
  <si>
    <t xml:space="preserve">251218 D1 Ctrl-dic vasos</t>
  </si>
  <si>
    <t xml:space="preserve">Zona 1 / Zona 2</t>
  </si>
  <si>
    <t xml:space="preserve">22/12/2025</t>
  </si>
  <si>
    <t xml:space="preserve">251222 D1 Ctrl-dic ranas</t>
  </si>
  <si>
    <t xml:space="preserve">Z3</t>
  </si>
  <si>
    <t xml:space="preserve">Z1a / Z2a</t>
  </si>
  <si>
    <t xml:space="preserve">250508 D1 CtrlSac isoc</t>
  </si>
  <si>
    <t xml:space="preserve">con nada</t>
  </si>
  <si>
    <t xml:space="preserve">Z1 / Z2</t>
  </si>
  <si>
    <t xml:space="preserve">Zona 1a / Zona 2a</t>
  </si>
  <si>
    <t xml:space="preserve">sac1</t>
  </si>
  <si>
    <t xml:space="preserve">sac2</t>
  </si>
  <si>
    <t xml:space="preserve">Sac/Stevia 2026</t>
  </si>
  <si>
    <t xml:space="preserve">06/08/2026</t>
  </si>
  <si>
    <t xml:space="preserve">260806 D1 SacStev vasos</t>
  </si>
  <si>
    <t xml:space="preserve">SAC 1</t>
  </si>
  <si>
    <t xml:space="preserve">SAC 2</t>
  </si>
  <si>
    <t xml:space="preserve">SAC 3</t>
  </si>
  <si>
    <t xml:space="preserve">10/08/2026</t>
  </si>
  <si>
    <t xml:space="preserve">260810 D1 SacStev ranas</t>
  </si>
  <si>
    <t xml:space="preserve">sac 6</t>
  </si>
  <si>
    <t xml:space="preserve">sac 7</t>
  </si>
  <si>
    <t xml:space="preserve">sac8</t>
  </si>
  <si>
    <t xml:space="preserve">sac 9</t>
  </si>
  <si>
    <t xml:space="preserve">sac nada</t>
  </si>
  <si>
    <t xml:space="preserve">SAC 4</t>
  </si>
  <si>
    <t xml:space="preserve">SAC 5</t>
  </si>
  <si>
    <t xml:space="preserve">Stevia 2024</t>
  </si>
  <si>
    <t xml:space="preserve">25/04/2024</t>
  </si>
  <si>
    <t xml:space="preserve">240425 D1 Stevia</t>
  </si>
  <si>
    <t xml:space="preserve">#1</t>
  </si>
  <si>
    <t xml:space="preserve">Obj 2</t>
  </si>
  <si>
    <t xml:space="preserve">Obj 1 / Obj 3</t>
  </si>
  <si>
    <t xml:space="preserve">#2</t>
  </si>
  <si>
    <t xml:space="preserve">#3</t>
  </si>
  <si>
    <t xml:space="preserve">#4</t>
  </si>
  <si>
    <t xml:space="preserve">#5</t>
  </si>
  <si>
    <t xml:space="preserve">STEV 1</t>
  </si>
  <si>
    <t xml:space="preserve">STEV 2</t>
  </si>
  <si>
    <t xml:space="preserve">STEV 3</t>
  </si>
  <si>
    <t xml:space="preserve">stevia 4</t>
  </si>
  <si>
    <t xml:space="preserve">stevia 5</t>
  </si>
  <si>
    <t xml:space="preserve">#6</t>
  </si>
  <si>
    <t xml:space="preserve">OBJETO 2 isoceles</t>
  </si>
  <si>
    <t xml:space="preserve">OBJETO 1 isoceles / OBJETO 3 isoceles</t>
  </si>
  <si>
    <t xml:space="preserve">#7</t>
  </si>
  <si>
    <t xml:space="preserve">#8</t>
  </si>
  <si>
    <t xml:space="preserve">#9</t>
  </si>
  <si>
    <t xml:space="preserve">#10</t>
  </si>
  <si>
    <t xml:space="preserve">stevia 1</t>
  </si>
  <si>
    <t xml:space="preserve">stevia 2</t>
  </si>
  <si>
    <t xml:space="preserve">stevia 3</t>
  </si>
  <si>
    <t xml:space="preserve">STEV 4</t>
  </si>
  <si>
    <t xml:space="preserve">STEV 5</t>
  </si>
  <si>
    <t xml:space="preserve">Exploración total D1 = suma de los tres objetos. % en objeto fijo = t objeto fijo / exploración total; azar = 33,3 % (3 objetos idénticos).</t>
  </si>
  <si>
    <t xml:space="preserve">Duración en naranja = sesión de menos de 10 min (corte anticipado del registro); la exploración total de esos animales puede estar subestimada. Lote control oct 2025 (vasos): sin dato de duración en el original.</t>
  </si>
  <si>
    <t xml:space="preserve">Excluido: "con 1 raya" (pestaña 250508 D1 CtrlSac isoc) = repetición del muestreo de con 1; se usa el registro de con 1 de la tanda equilátero, que es su configuración en el test.</t>
  </si>
  <si>
    <t xml:space="preserve">Valores individuales del día 1 por grupo (columnas), listos para copiar a Prism</t>
  </si>
  <si>
    <t xml:space="preserve">Cada celda está vinculada a "Datos por animal". Cuatro bloques: exploración total y % en objeto fijo, en d-SLR y en s-SLR.</t>
  </si>
  <si>
    <t xml:space="preserve">Exploración total D1 (s) – d-SLR (equilátero)</t>
  </si>
  <si>
    <t xml:space="preserve">Exploración total D1 (s) – s-SLR (isósceles)</t>
  </si>
  <si>
    <t xml:space="preserve">% tiempo en objeto fijo (azar 33,3 %) – d-SLR (equilátero)</t>
  </si>
  <si>
    <t xml:space="preserve">% tiempo en objeto fijo (azar 33,3 %) – s-SLR (isósceles)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</si>
</sst>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9E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659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9E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2"/>
    <col collapsed="false" customWidth="true" hidden="false" outlineLevel="0" max="8" min="8" style="0" width="30"/>
  </cols>
  <sheetData>
    <row r="1" customFormat="false" ht="16.15" hidden="false" customHeight="false" outlineLevel="0" collapsed="false">
      <c r="A1" s="1" t="s">
        <v>0</v>
      </c>
    </row>
    <row r="3" customFormat="false" ht="39.7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</row>
    <row r="4" customFormat="false" ht="27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  <c r="G4" s="3"/>
      <c r="H4" s="3"/>
    </row>
    <row r="5" customFormat="false" ht="27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customFormat="false" ht="27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  <c r="G6" s="3"/>
      <c r="H6" s="3"/>
    </row>
    <row r="8" customFormat="false" ht="15" hidden="false" customHeight="true" outlineLevel="0" collapsed="false">
      <c r="A8" s="4" t="s">
        <v>9</v>
      </c>
      <c r="B8" s="4" t="s">
        <v>10</v>
      </c>
      <c r="C8" s="4"/>
      <c r="D8" s="4"/>
      <c r="E8" s="4" t="s">
        <v>11</v>
      </c>
      <c r="F8" s="4"/>
      <c r="G8" s="4"/>
    </row>
    <row r="9" customFormat="false" ht="27.75" hidden="false" customHeight="true" outlineLevel="0" collapsed="false">
      <c r="A9" s="4"/>
      <c r="B9" s="4" t="s">
        <v>7</v>
      </c>
      <c r="C9" s="4" t="s">
        <v>12</v>
      </c>
      <c r="D9" s="4" t="s">
        <v>5</v>
      </c>
      <c r="E9" s="4" t="s">
        <v>7</v>
      </c>
      <c r="F9" s="4" t="s">
        <v>12</v>
      </c>
      <c r="G9" s="4" t="s">
        <v>5</v>
      </c>
    </row>
    <row r="10" customFormat="false" ht="15" hidden="false" customHeight="false" outlineLevel="0" collapsed="false">
      <c r="A10" s="5" t="s">
        <v>13</v>
      </c>
      <c r="B10" s="6" t="n">
        <f aca="false">COUNTIFS('Datos por animal'!$C:$C,$A10,'Datos por animal'!$D:$D,"d-SLR (equilátero)")</f>
        <v>9</v>
      </c>
      <c r="C10" s="7" t="n">
        <f aca="false">AVERAGEIFS('Datos por animal'!$O:$O,'Datos por animal'!$C:$C,$A10,'Datos por animal'!$D:$D,"d-SLR (equilátero)")</f>
        <v>30.6333333333333</v>
      </c>
      <c r="D10" s="8" t="n">
        <f aca="false">AVERAGEIFS('Datos por animal'!$P:$P,'Datos por animal'!$C:$C,$A10,'Datos por animal'!$D:$D,"d-SLR (equilátero)")</f>
        <v>0.318516885168491</v>
      </c>
      <c r="E10" s="6" t="n">
        <f aca="false">COUNTIFS('Datos por animal'!$C:$C,$A10,'Datos por animal'!$D:$D,"s-SLR (isósceles)")</f>
        <v>10</v>
      </c>
      <c r="F10" s="7" t="n">
        <f aca="false">AVERAGEIFS('Datos por animal'!$O:$O,'Datos por animal'!$C:$C,$A10,'Datos por animal'!$D:$D,"s-SLR (isósceles)")</f>
        <v>30.6</v>
      </c>
      <c r="G10" s="8" t="n">
        <f aca="false">AVERAGEIFS('Datos por animal'!$P:$P,'Datos por animal'!$C:$C,$A10,'Datos por animal'!$D:$D,"s-SLR (isósceles)")</f>
        <v>0.330098012617376</v>
      </c>
    </row>
    <row r="11" customFormat="false" ht="15" hidden="false" customHeight="false" outlineLevel="0" collapsed="false">
      <c r="A11" s="9" t="s">
        <v>14</v>
      </c>
      <c r="B11" s="6" t="n">
        <f aca="false">COUNTIFS('Datos por animal'!$C:$C,$A11,'Datos por animal'!$D:$D,"d-SLR (equilátero)")</f>
        <v>9</v>
      </c>
      <c r="C11" s="7" t="n">
        <f aca="false">AVERAGEIFS('Datos por animal'!$O:$O,'Datos por animal'!$C:$C,$A11,'Datos por animal'!$D:$D,"d-SLR (equilátero)")</f>
        <v>50.7222222222222</v>
      </c>
      <c r="D11" s="8" t="n">
        <f aca="false">AVERAGEIFS('Datos por animal'!$P:$P,'Datos por animal'!$C:$C,$A11,'Datos por animal'!$D:$D,"d-SLR (equilátero)")</f>
        <v>0.333973421878981</v>
      </c>
      <c r="E11" s="6" t="n">
        <f aca="false">COUNTIFS('Datos por animal'!$C:$C,$A11,'Datos por animal'!$D:$D,"s-SLR (isósceles)")</f>
        <v>9</v>
      </c>
      <c r="F11" s="7" t="n">
        <f aca="false">AVERAGEIFS('Datos por animal'!$O:$O,'Datos por animal'!$C:$C,$A11,'Datos por animal'!$D:$D,"s-SLR (isósceles)")</f>
        <v>58.2222222222222</v>
      </c>
      <c r="G11" s="8" t="n">
        <f aca="false">AVERAGEIFS('Datos por animal'!$P:$P,'Datos por animal'!$C:$C,$A11,'Datos por animal'!$D:$D,"s-SLR (isósceles)")</f>
        <v>0.354157446596712</v>
      </c>
    </row>
    <row r="12" customFormat="false" ht="15" hidden="false" customHeight="false" outlineLevel="0" collapsed="false">
      <c r="A12" s="10" t="s">
        <v>15</v>
      </c>
      <c r="B12" s="6" t="n">
        <f aca="false">COUNTIFS('Datos por animal'!$C:$C,$A12,'Datos por animal'!$D:$D,"d-SLR (equilátero)")</f>
        <v>10</v>
      </c>
      <c r="C12" s="7" t="n">
        <f aca="false">AVERAGEIFS('Datos por animal'!$O:$O,'Datos por animal'!$C:$C,$A12,'Datos por animal'!$D:$D,"d-SLR (equilátero)")</f>
        <v>43.43</v>
      </c>
      <c r="D12" s="8" t="n">
        <f aca="false">AVERAGEIFS('Datos por animal'!$P:$P,'Datos por animal'!$C:$C,$A12,'Datos por animal'!$D:$D,"d-SLR (equilátero)")</f>
        <v>0.34155798313946</v>
      </c>
      <c r="E12" s="6" t="n">
        <f aca="false">COUNTIFS('Datos por animal'!$C:$C,$A12,'Datos por animal'!$D:$D,"s-SLR (isósceles)")</f>
        <v>10</v>
      </c>
      <c r="F12" s="7" t="n">
        <f aca="false">AVERAGEIFS('Datos por animal'!$O:$O,'Datos por animal'!$C:$C,$A12,'Datos por animal'!$D:$D,"s-SLR (isósceles)")</f>
        <v>39.96</v>
      </c>
      <c r="G12" s="8" t="n">
        <f aca="false">AVERAGEIFS('Datos por animal'!$P:$P,'Datos por animal'!$C:$C,$A12,'Datos por animal'!$D:$D,"s-SLR (isósceles)")</f>
        <v>0.394721895315216</v>
      </c>
    </row>
    <row r="13" customFormat="false" ht="15" hidden="false" customHeight="false" outlineLevel="0" collapsed="false">
      <c r="A13" s="5" t="s">
        <v>16</v>
      </c>
      <c r="B13" s="6" t="n">
        <f aca="false">COUNTIFS('Datos por animal'!$C:$C,$A13,'Datos por animal'!$D:$D,"d-SLR (equilátero)")</f>
        <v>10</v>
      </c>
      <c r="C13" s="7" t="n">
        <f aca="false">AVERAGEIFS('Datos por animal'!$O:$O,'Datos por animal'!$C:$C,$A13,'Datos por animal'!$D:$D,"d-SLR (equilátero)")</f>
        <v>42.88</v>
      </c>
      <c r="D13" s="8" t="n">
        <f aca="false">AVERAGEIFS('Datos por animal'!$P:$P,'Datos por animal'!$C:$C,$A13,'Datos por animal'!$D:$D,"d-SLR (equilátero)")</f>
        <v>0.366877657806095</v>
      </c>
      <c r="E13" s="6" t="n">
        <f aca="false">COUNTIFS('Datos por animal'!$C:$C,$A13,'Datos por animal'!$D:$D,"s-SLR (isósceles)")</f>
        <v>10</v>
      </c>
      <c r="F13" s="7" t="n">
        <f aca="false">AVERAGEIFS('Datos por animal'!$O:$O,'Datos por animal'!$C:$C,$A13,'Datos por animal'!$D:$D,"s-SLR (isósceles)")</f>
        <v>30.54</v>
      </c>
      <c r="G13" s="8" t="n">
        <f aca="false">AVERAGEIFS('Datos por animal'!$P:$P,'Datos por animal'!$C:$C,$A13,'Datos por animal'!$D:$D,"s-SLR (isósceles)")</f>
        <v>0.451263992952236</v>
      </c>
    </row>
    <row r="14" customFormat="false" ht="15" hidden="false" customHeight="false" outlineLevel="0" collapsed="false">
      <c r="A14" s="9" t="s">
        <v>17</v>
      </c>
      <c r="B14" s="6" t="n">
        <f aca="false">COUNTIFS('Datos por animal'!$C:$C,$A14,'Datos por animal'!$D:$D,"d-SLR (equilátero)")</f>
        <v>10</v>
      </c>
      <c r="C14" s="7" t="n">
        <f aca="false">AVERAGEIFS('Datos por animal'!$O:$O,'Datos por animal'!$C:$C,$A14,'Datos por animal'!$D:$D,"d-SLR (equilátero)")</f>
        <v>37.18</v>
      </c>
      <c r="D14" s="8" t="n">
        <f aca="false">AVERAGEIFS('Datos por animal'!$P:$P,'Datos por animal'!$C:$C,$A14,'Datos por animal'!$D:$D,"d-SLR (equilátero)")</f>
        <v>0.367132386658721</v>
      </c>
      <c r="E14" s="6" t="n">
        <f aca="false">COUNTIFS('Datos por animal'!$C:$C,$A14,'Datos por animal'!$D:$D,"s-SLR (isósceles)")</f>
        <v>10</v>
      </c>
      <c r="F14" s="7" t="n">
        <f aca="false">AVERAGEIFS('Datos por animal'!$O:$O,'Datos por animal'!$C:$C,$A14,'Datos por animal'!$D:$D,"s-SLR (isósceles)")</f>
        <v>37.77</v>
      </c>
      <c r="G14" s="8" t="n">
        <f aca="false">AVERAGEIFS('Datos por animal'!$P:$P,'Datos por animal'!$C:$C,$A14,'Datos por animal'!$D:$D,"s-SLR (isósceles)")</f>
        <v>0.477968502866213</v>
      </c>
    </row>
    <row r="15" customFormat="false" ht="15" hidden="false" customHeight="false" outlineLevel="0" collapsed="false">
      <c r="A15" s="10" t="s">
        <v>18</v>
      </c>
      <c r="B15" s="6" t="n">
        <f aca="false">COUNTIFS('Datos por animal'!$C:$C,$A15,'Datos por animal'!$D:$D,"d-SLR (equilátero)")</f>
        <v>10</v>
      </c>
      <c r="C15" s="7" t="n">
        <f aca="false">AVERAGEIFS('Datos por animal'!$O:$O,'Datos por animal'!$C:$C,$A15,'Datos por animal'!$D:$D,"d-SLR (equilátero)")</f>
        <v>56.07</v>
      </c>
      <c r="D15" s="8" t="n">
        <f aca="false">AVERAGEIFS('Datos por animal'!$P:$P,'Datos por animal'!$C:$C,$A15,'Datos por animal'!$D:$D,"d-SLR (equilátero)")</f>
        <v>0.339699965606577</v>
      </c>
      <c r="E15" s="6" t="n">
        <f aca="false">COUNTIFS('Datos por animal'!$C:$C,$A15,'Datos por animal'!$D:$D,"s-SLR (isósceles)")</f>
        <v>10</v>
      </c>
      <c r="F15" s="7" t="n">
        <f aca="false">AVERAGEIFS('Datos por animal'!$O:$O,'Datos por animal'!$C:$C,$A15,'Datos por animal'!$D:$D,"s-SLR (isósceles)")</f>
        <v>55.44</v>
      </c>
      <c r="G15" s="8" t="n">
        <f aca="false">AVERAGEIFS('Datos por animal'!$P:$P,'Datos por animal'!$C:$C,$A15,'Datos por animal'!$D:$D,"s-SLR (isósceles)")</f>
        <v>0.380038446095178</v>
      </c>
    </row>
    <row r="17" customFormat="false" ht="15" hidden="false" customHeight="false" outlineLevel="0" collapsed="false">
      <c r="A17" s="11" t="s">
        <v>19</v>
      </c>
    </row>
    <row r="18" customFormat="false" ht="15" hidden="false" customHeight="false" outlineLevel="0" collapsed="false">
      <c r="A18" s="11" t="s">
        <v>20</v>
      </c>
    </row>
    <row r="19" customFormat="false" ht="15" hidden="false" customHeight="false" outlineLevel="0" collapsed="false">
      <c r="A19" s="11" t="s">
        <v>21</v>
      </c>
    </row>
    <row r="20" customFormat="false" ht="15" hidden="false" customHeight="false" outlineLevel="0" collapsed="false">
      <c r="A20" s="11" t="s">
        <v>22</v>
      </c>
    </row>
    <row r="21" customFormat="false" ht="15" hidden="false" customHeight="false" outlineLevel="0" collapsed="false">
      <c r="A21" s="11" t="s">
        <v>23</v>
      </c>
    </row>
  </sheetData>
  <mergeCells count="7">
    <mergeCell ref="B3:H3"/>
    <mergeCell ref="B4:H4"/>
    <mergeCell ref="B5:H5"/>
    <mergeCell ref="B6:H6"/>
    <mergeCell ref="A8:A9"/>
    <mergeCell ref="B8:D8"/>
    <mergeCell ref="E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4" topLeftCell="J5" activePane="bottomRight" state="frozen"/>
      <selection pane="topLeft" activeCell="A1" activeCellId="0" sqref="A1"/>
      <selection pane="topRight" activeCell="J1" activeCellId="0" sqref="J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25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2"/>
  </cols>
  <sheetData>
    <row r="1" customFormat="false" ht="16.15" hidden="false" customHeight="false" outlineLevel="0" collapsed="false">
      <c r="A1" s="1" t="s">
        <v>24</v>
      </c>
    </row>
    <row r="2" customFormat="false" ht="27.75" hidden="false" customHeight="true" outlineLevel="0" collapsed="false">
      <c r="A2" s="12" t="s">
        <v>25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4" customFormat="false" ht="54" hidden="false" customHeight="true" outlineLevel="0" collapsed="false">
      <c r="A4" s="4" t="s">
        <v>26</v>
      </c>
      <c r="B4" s="4" t="s">
        <v>27</v>
      </c>
      <c r="C4" s="4" t="s">
        <v>9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  <c r="L4" s="4" t="s">
        <v>36</v>
      </c>
      <c r="M4" s="4" t="s">
        <v>37</v>
      </c>
      <c r="N4" s="4" t="s">
        <v>38</v>
      </c>
      <c r="O4" s="4" t="s">
        <v>39</v>
      </c>
      <c r="P4" s="4" t="s">
        <v>40</v>
      </c>
      <c r="Q4" s="4" t="s">
        <v>41</v>
      </c>
    </row>
    <row r="5" customFormat="false" ht="15" hidden="false" customHeight="false" outlineLevel="0" collapsed="false">
      <c r="A5" s="13" t="s">
        <v>42</v>
      </c>
      <c r="B5" s="5" t="s">
        <v>43</v>
      </c>
      <c r="C5" s="13" t="s">
        <v>13</v>
      </c>
      <c r="D5" s="13" t="s">
        <v>10</v>
      </c>
      <c r="E5" s="13" t="s">
        <v>44</v>
      </c>
      <c r="F5" s="14" t="s">
        <v>45</v>
      </c>
      <c r="G5" s="14" t="s">
        <v>46</v>
      </c>
      <c r="H5" s="13" t="s">
        <v>47</v>
      </c>
      <c r="I5" s="13" t="s">
        <v>48</v>
      </c>
      <c r="J5" s="15" t="n">
        <v>598.8</v>
      </c>
      <c r="K5" s="14" t="s">
        <v>49</v>
      </c>
      <c r="L5" s="16" t="n">
        <v>8.6</v>
      </c>
      <c r="M5" s="16" t="n">
        <v>17.8</v>
      </c>
      <c r="N5" s="16" t="n">
        <v>19.2</v>
      </c>
      <c r="O5" s="17" t="n">
        <f aca="false">L5+M5+N5</f>
        <v>45.6</v>
      </c>
      <c r="P5" s="18" t="n">
        <f aca="false">IF(O5=0,"",L5/O5)</f>
        <v>0.18859649122807</v>
      </c>
      <c r="Q5" s="13" t="s">
        <v>50</v>
      </c>
    </row>
    <row r="6" customFormat="false" ht="15" hidden="false" customHeight="false" outlineLevel="0" collapsed="false">
      <c r="A6" s="13" t="s">
        <v>42</v>
      </c>
      <c r="B6" s="5" t="s">
        <v>43</v>
      </c>
      <c r="C6" s="13" t="s">
        <v>13</v>
      </c>
      <c r="D6" s="13" t="s">
        <v>10</v>
      </c>
      <c r="E6" s="13" t="s">
        <v>44</v>
      </c>
      <c r="F6" s="14" t="s">
        <v>45</v>
      </c>
      <c r="G6" s="14" t="s">
        <v>46</v>
      </c>
      <c r="H6" s="13" t="s">
        <v>47</v>
      </c>
      <c r="I6" s="13" t="s">
        <v>51</v>
      </c>
      <c r="J6" s="15" t="n">
        <v>592.7</v>
      </c>
      <c r="K6" s="14" t="s">
        <v>49</v>
      </c>
      <c r="L6" s="16" t="n">
        <v>10.8</v>
      </c>
      <c r="M6" s="16" t="n">
        <v>22.5</v>
      </c>
      <c r="N6" s="16" t="n">
        <v>21</v>
      </c>
      <c r="O6" s="17" t="n">
        <f aca="false">L6+M6+N6</f>
        <v>54.3</v>
      </c>
      <c r="P6" s="18" t="n">
        <f aca="false">IF(O6=0,"",L6/O6)</f>
        <v>0.198895027624309</v>
      </c>
      <c r="Q6" s="13" t="s">
        <v>50</v>
      </c>
    </row>
    <row r="7" customFormat="false" ht="15" hidden="false" customHeight="false" outlineLevel="0" collapsed="false">
      <c r="A7" s="13" t="s">
        <v>42</v>
      </c>
      <c r="B7" s="5" t="s">
        <v>43</v>
      </c>
      <c r="C7" s="13" t="s">
        <v>13</v>
      </c>
      <c r="D7" s="13" t="s">
        <v>10</v>
      </c>
      <c r="E7" s="13" t="s">
        <v>44</v>
      </c>
      <c r="F7" s="14" t="s">
        <v>45</v>
      </c>
      <c r="G7" s="14" t="s">
        <v>46</v>
      </c>
      <c r="H7" s="13" t="s">
        <v>47</v>
      </c>
      <c r="I7" s="13" t="s">
        <v>52</v>
      </c>
      <c r="J7" s="15" t="n">
        <v>600</v>
      </c>
      <c r="K7" s="14" t="s">
        <v>49</v>
      </c>
      <c r="L7" s="16" t="n">
        <v>7.2</v>
      </c>
      <c r="M7" s="16" t="n">
        <v>10.3</v>
      </c>
      <c r="N7" s="16" t="n">
        <v>9.4</v>
      </c>
      <c r="O7" s="17" t="n">
        <f aca="false">L7+M7+N7</f>
        <v>26.9</v>
      </c>
      <c r="P7" s="18" t="n">
        <f aca="false">IF(O7=0,"",L7/O7)</f>
        <v>0.267657992565056</v>
      </c>
      <c r="Q7" s="13" t="s">
        <v>50</v>
      </c>
    </row>
    <row r="8" customFormat="false" ht="15" hidden="false" customHeight="false" outlineLevel="0" collapsed="false">
      <c r="A8" s="13" t="s">
        <v>42</v>
      </c>
      <c r="B8" s="5" t="s">
        <v>43</v>
      </c>
      <c r="C8" s="13" t="s">
        <v>13</v>
      </c>
      <c r="D8" s="13" t="s">
        <v>10</v>
      </c>
      <c r="E8" s="13" t="s">
        <v>44</v>
      </c>
      <c r="F8" s="14" t="s">
        <v>45</v>
      </c>
      <c r="G8" s="14" t="s">
        <v>46</v>
      </c>
      <c r="H8" s="13" t="s">
        <v>47</v>
      </c>
      <c r="I8" s="13" t="s">
        <v>53</v>
      </c>
      <c r="J8" s="15" t="n">
        <v>598.8</v>
      </c>
      <c r="K8" s="14" t="s">
        <v>49</v>
      </c>
      <c r="L8" s="16" t="n">
        <v>12.9</v>
      </c>
      <c r="M8" s="16" t="n">
        <v>4.8</v>
      </c>
      <c r="N8" s="16" t="n">
        <v>7.6</v>
      </c>
      <c r="O8" s="17" t="n">
        <f aca="false">L8+M8+N8</f>
        <v>25.3</v>
      </c>
      <c r="P8" s="18" t="n">
        <f aca="false">IF(O8=0,"",L8/O8)</f>
        <v>0.509881422924901</v>
      </c>
      <c r="Q8" s="13" t="s">
        <v>50</v>
      </c>
    </row>
    <row r="9" customFormat="false" ht="15" hidden="false" customHeight="false" outlineLevel="0" collapsed="false">
      <c r="A9" s="13" t="s">
        <v>42</v>
      </c>
      <c r="B9" s="5" t="s">
        <v>43</v>
      </c>
      <c r="C9" s="13" t="s">
        <v>13</v>
      </c>
      <c r="D9" s="13" t="s">
        <v>10</v>
      </c>
      <c r="E9" s="13" t="s">
        <v>54</v>
      </c>
      <c r="F9" s="14" t="s">
        <v>55</v>
      </c>
      <c r="G9" s="14" t="s">
        <v>56</v>
      </c>
      <c r="H9" s="13" t="s">
        <v>57</v>
      </c>
      <c r="I9" s="13" t="s">
        <v>58</v>
      </c>
      <c r="J9" s="15" t="s">
        <v>59</v>
      </c>
      <c r="K9" s="14" t="s">
        <v>49</v>
      </c>
      <c r="L9" s="16" t="n">
        <v>12.8</v>
      </c>
      <c r="M9" s="16" t="n">
        <v>11.4</v>
      </c>
      <c r="N9" s="16" t="n">
        <v>9.6</v>
      </c>
      <c r="O9" s="17" t="n">
        <f aca="false">L9+M9+N9</f>
        <v>33.8</v>
      </c>
      <c r="P9" s="18" t="n">
        <f aca="false">IF(O9=0,"",L9/O9)</f>
        <v>0.378698224852071</v>
      </c>
      <c r="Q9" s="13" t="s">
        <v>50</v>
      </c>
    </row>
    <row r="10" customFormat="false" ht="15" hidden="false" customHeight="false" outlineLevel="0" collapsed="false">
      <c r="A10" s="13" t="s">
        <v>42</v>
      </c>
      <c r="B10" s="5" t="s">
        <v>43</v>
      </c>
      <c r="C10" s="13" t="s">
        <v>13</v>
      </c>
      <c r="D10" s="13" t="s">
        <v>10</v>
      </c>
      <c r="E10" s="13" t="s">
        <v>54</v>
      </c>
      <c r="F10" s="14" t="s">
        <v>55</v>
      </c>
      <c r="G10" s="14" t="s">
        <v>56</v>
      </c>
      <c r="H10" s="13" t="s">
        <v>57</v>
      </c>
      <c r="I10" s="13" t="s">
        <v>60</v>
      </c>
      <c r="J10" s="15" t="s">
        <v>59</v>
      </c>
      <c r="K10" s="14" t="s">
        <v>49</v>
      </c>
      <c r="L10" s="16" t="n">
        <v>4.8</v>
      </c>
      <c r="M10" s="16" t="n">
        <v>10.7</v>
      </c>
      <c r="N10" s="16" t="n">
        <v>15.1</v>
      </c>
      <c r="O10" s="17" t="n">
        <f aca="false">L10+M10+N10</f>
        <v>30.6</v>
      </c>
      <c r="P10" s="18" t="n">
        <f aca="false">IF(O10=0,"",L10/O10)</f>
        <v>0.156862745098039</v>
      </c>
      <c r="Q10" s="13" t="s">
        <v>50</v>
      </c>
    </row>
    <row r="11" customFormat="false" ht="15" hidden="false" customHeight="false" outlineLevel="0" collapsed="false">
      <c r="A11" s="13" t="s">
        <v>42</v>
      </c>
      <c r="B11" s="5" t="s">
        <v>43</v>
      </c>
      <c r="C11" s="13" t="s">
        <v>13</v>
      </c>
      <c r="D11" s="13" t="s">
        <v>10</v>
      </c>
      <c r="E11" s="13" t="s">
        <v>54</v>
      </c>
      <c r="F11" s="14" t="s">
        <v>55</v>
      </c>
      <c r="G11" s="14" t="s">
        <v>56</v>
      </c>
      <c r="H11" s="13" t="s">
        <v>57</v>
      </c>
      <c r="I11" s="13" t="s">
        <v>61</v>
      </c>
      <c r="J11" s="15" t="s">
        <v>59</v>
      </c>
      <c r="K11" s="14" t="s">
        <v>49</v>
      </c>
      <c r="L11" s="16" t="n">
        <v>13.3</v>
      </c>
      <c r="M11" s="16" t="n">
        <v>12.4</v>
      </c>
      <c r="N11" s="16" t="n">
        <v>5.4</v>
      </c>
      <c r="O11" s="17" t="n">
        <f aca="false">L11+M11+N11</f>
        <v>31.1</v>
      </c>
      <c r="P11" s="18" t="n">
        <f aca="false">IF(O11=0,"",L11/O11)</f>
        <v>0.427652733118971</v>
      </c>
      <c r="Q11" s="13" t="s">
        <v>50</v>
      </c>
    </row>
    <row r="12" customFormat="false" ht="15" hidden="false" customHeight="false" outlineLevel="0" collapsed="false">
      <c r="A12" s="13" t="s">
        <v>42</v>
      </c>
      <c r="B12" s="5" t="s">
        <v>43</v>
      </c>
      <c r="C12" s="13" t="s">
        <v>13</v>
      </c>
      <c r="D12" s="13" t="s">
        <v>10</v>
      </c>
      <c r="E12" s="13" t="s">
        <v>54</v>
      </c>
      <c r="F12" s="14" t="s">
        <v>62</v>
      </c>
      <c r="G12" s="14" t="s">
        <v>63</v>
      </c>
      <c r="H12" s="13" t="s">
        <v>64</v>
      </c>
      <c r="I12" s="13" t="s">
        <v>65</v>
      </c>
      <c r="J12" s="15" t="n">
        <v>600</v>
      </c>
      <c r="K12" s="14" t="s">
        <v>49</v>
      </c>
      <c r="L12" s="16" t="n">
        <v>3.4</v>
      </c>
      <c r="M12" s="16" t="n">
        <v>1.7</v>
      </c>
      <c r="N12" s="16" t="n">
        <v>1.5</v>
      </c>
      <c r="O12" s="17" t="n">
        <f aca="false">L12+M12+N12</f>
        <v>6.6</v>
      </c>
      <c r="P12" s="18" t="n">
        <f aca="false">IF(O12=0,"",L12/O12)</f>
        <v>0.515151515151515</v>
      </c>
      <c r="Q12" s="13" t="s">
        <v>66</v>
      </c>
    </row>
    <row r="13" customFormat="false" ht="15" hidden="false" customHeight="false" outlineLevel="0" collapsed="false">
      <c r="A13" s="13" t="s">
        <v>42</v>
      </c>
      <c r="B13" s="5" t="s">
        <v>43</v>
      </c>
      <c r="C13" s="13" t="s">
        <v>13</v>
      </c>
      <c r="D13" s="13" t="s">
        <v>10</v>
      </c>
      <c r="E13" s="13" t="s">
        <v>54</v>
      </c>
      <c r="F13" s="14" t="s">
        <v>62</v>
      </c>
      <c r="G13" s="14" t="s">
        <v>63</v>
      </c>
      <c r="H13" s="13" t="s">
        <v>64</v>
      </c>
      <c r="I13" s="13" t="s">
        <v>67</v>
      </c>
      <c r="J13" s="15" t="n">
        <v>600</v>
      </c>
      <c r="K13" s="14" t="s">
        <v>49</v>
      </c>
      <c r="L13" s="16" t="n">
        <v>4.8</v>
      </c>
      <c r="M13" s="16" t="n">
        <v>5.5</v>
      </c>
      <c r="N13" s="16" t="n">
        <v>11.2</v>
      </c>
      <c r="O13" s="17" t="n">
        <f aca="false">L13+M13+N13</f>
        <v>21.5</v>
      </c>
      <c r="P13" s="18" t="n">
        <f aca="false">IF(O13=0,"",L13/O13)</f>
        <v>0.223255813953488</v>
      </c>
      <c r="Q13" s="13" t="s">
        <v>66</v>
      </c>
    </row>
    <row r="14" customFormat="false" ht="15" hidden="false" customHeight="false" outlineLevel="0" collapsed="false">
      <c r="A14" s="13" t="s">
        <v>42</v>
      </c>
      <c r="B14" s="5" t="s">
        <v>43</v>
      </c>
      <c r="C14" s="13" t="s">
        <v>13</v>
      </c>
      <c r="D14" s="13" t="s">
        <v>11</v>
      </c>
      <c r="E14" s="13" t="s">
        <v>44</v>
      </c>
      <c r="F14" s="14" t="s">
        <v>45</v>
      </c>
      <c r="G14" s="14" t="s">
        <v>46</v>
      </c>
      <c r="H14" s="13" t="s">
        <v>47</v>
      </c>
      <c r="I14" s="13" t="s">
        <v>68</v>
      </c>
      <c r="J14" s="15" t="n">
        <v>595.3</v>
      </c>
      <c r="K14" s="14" t="s">
        <v>49</v>
      </c>
      <c r="L14" s="16" t="n">
        <v>18.8</v>
      </c>
      <c r="M14" s="16" t="n">
        <v>6.4</v>
      </c>
      <c r="N14" s="16" t="n">
        <v>12.4</v>
      </c>
      <c r="O14" s="17" t="n">
        <f aca="false">L14+M14+N14</f>
        <v>37.6</v>
      </c>
      <c r="P14" s="18" t="n">
        <f aca="false">IF(O14=0,"",L14/O14)</f>
        <v>0.5</v>
      </c>
      <c r="Q14" s="13" t="s">
        <v>50</v>
      </c>
    </row>
    <row r="15" customFormat="false" ht="15" hidden="false" customHeight="false" outlineLevel="0" collapsed="false">
      <c r="A15" s="13" t="s">
        <v>42</v>
      </c>
      <c r="B15" s="5" t="s">
        <v>43</v>
      </c>
      <c r="C15" s="13" t="s">
        <v>13</v>
      </c>
      <c r="D15" s="13" t="s">
        <v>11</v>
      </c>
      <c r="E15" s="13" t="s">
        <v>44</v>
      </c>
      <c r="F15" s="14" t="s">
        <v>45</v>
      </c>
      <c r="G15" s="14" t="s">
        <v>46</v>
      </c>
      <c r="H15" s="13" t="s">
        <v>47</v>
      </c>
      <c r="I15" s="13" t="s">
        <v>69</v>
      </c>
      <c r="J15" s="15" t="n">
        <v>598.5</v>
      </c>
      <c r="K15" s="14" t="s">
        <v>49</v>
      </c>
      <c r="L15" s="16" t="n">
        <v>12.5</v>
      </c>
      <c r="M15" s="16" t="n">
        <v>12.7</v>
      </c>
      <c r="N15" s="16" t="n">
        <v>11.3</v>
      </c>
      <c r="O15" s="17" t="n">
        <f aca="false">L15+M15+N15</f>
        <v>36.5</v>
      </c>
      <c r="P15" s="18" t="n">
        <f aca="false">IF(O15=0,"",L15/O15)</f>
        <v>0.342465753424658</v>
      </c>
      <c r="Q15" s="13" t="s">
        <v>50</v>
      </c>
    </row>
    <row r="16" customFormat="false" ht="15" hidden="false" customHeight="false" outlineLevel="0" collapsed="false">
      <c r="A16" s="13" t="s">
        <v>42</v>
      </c>
      <c r="B16" s="5" t="s">
        <v>43</v>
      </c>
      <c r="C16" s="13" t="s">
        <v>13</v>
      </c>
      <c r="D16" s="13" t="s">
        <v>11</v>
      </c>
      <c r="E16" s="13" t="s">
        <v>44</v>
      </c>
      <c r="F16" s="14" t="s">
        <v>45</v>
      </c>
      <c r="G16" s="14" t="s">
        <v>46</v>
      </c>
      <c r="H16" s="13" t="s">
        <v>47</v>
      </c>
      <c r="I16" s="13" t="s">
        <v>70</v>
      </c>
      <c r="J16" s="15" t="n">
        <v>598.8</v>
      </c>
      <c r="K16" s="14" t="s">
        <v>49</v>
      </c>
      <c r="L16" s="16" t="n">
        <v>5</v>
      </c>
      <c r="M16" s="16" t="n">
        <v>7.8</v>
      </c>
      <c r="N16" s="16" t="n">
        <v>10</v>
      </c>
      <c r="O16" s="17" t="n">
        <f aca="false">L16+M16+N16</f>
        <v>22.8</v>
      </c>
      <c r="P16" s="18" t="n">
        <f aca="false">IF(O16=0,"",L16/O16)</f>
        <v>0.219298245614035</v>
      </c>
      <c r="Q16" s="13" t="s">
        <v>50</v>
      </c>
    </row>
    <row r="17" customFormat="false" ht="15" hidden="false" customHeight="false" outlineLevel="0" collapsed="false">
      <c r="A17" s="13" t="s">
        <v>42</v>
      </c>
      <c r="B17" s="5" t="s">
        <v>43</v>
      </c>
      <c r="C17" s="13" t="s">
        <v>13</v>
      </c>
      <c r="D17" s="13" t="s">
        <v>11</v>
      </c>
      <c r="E17" s="13" t="s">
        <v>44</v>
      </c>
      <c r="F17" s="14" t="s">
        <v>45</v>
      </c>
      <c r="G17" s="14" t="s">
        <v>46</v>
      </c>
      <c r="H17" s="13" t="s">
        <v>47</v>
      </c>
      <c r="I17" s="13" t="s">
        <v>71</v>
      </c>
      <c r="J17" s="15" t="n">
        <v>598.4</v>
      </c>
      <c r="K17" s="14" t="s">
        <v>49</v>
      </c>
      <c r="L17" s="16" t="n">
        <v>11.8</v>
      </c>
      <c r="M17" s="16" t="n">
        <v>9.7</v>
      </c>
      <c r="N17" s="16" t="n">
        <v>13.8</v>
      </c>
      <c r="O17" s="17" t="n">
        <f aca="false">L17+M17+N17</f>
        <v>35.3</v>
      </c>
      <c r="P17" s="18" t="n">
        <f aca="false">IF(O17=0,"",L17/O17)</f>
        <v>0.334277620396601</v>
      </c>
      <c r="Q17" s="13" t="s">
        <v>50</v>
      </c>
    </row>
    <row r="18" customFormat="false" ht="15" hidden="false" customHeight="false" outlineLevel="0" collapsed="false">
      <c r="A18" s="13" t="s">
        <v>42</v>
      </c>
      <c r="B18" s="5" t="s">
        <v>43</v>
      </c>
      <c r="C18" s="13" t="s">
        <v>13</v>
      </c>
      <c r="D18" s="13" t="s">
        <v>11</v>
      </c>
      <c r="E18" s="13" t="s">
        <v>44</v>
      </c>
      <c r="F18" s="14" t="s">
        <v>45</v>
      </c>
      <c r="G18" s="14" t="s">
        <v>46</v>
      </c>
      <c r="H18" s="13" t="s">
        <v>47</v>
      </c>
      <c r="I18" s="13" t="s">
        <v>72</v>
      </c>
      <c r="J18" s="15" t="n">
        <v>590.5</v>
      </c>
      <c r="K18" s="14" t="s">
        <v>49</v>
      </c>
      <c r="L18" s="16" t="n">
        <v>6.9</v>
      </c>
      <c r="M18" s="16" t="n">
        <v>13.2</v>
      </c>
      <c r="N18" s="16" t="n">
        <v>8.8</v>
      </c>
      <c r="O18" s="17" t="n">
        <f aca="false">L18+M18+N18</f>
        <v>28.9</v>
      </c>
      <c r="P18" s="18" t="n">
        <f aca="false">IF(O18=0,"",L18/O18)</f>
        <v>0.238754325259516</v>
      </c>
      <c r="Q18" s="13" t="s">
        <v>50</v>
      </c>
    </row>
    <row r="19" customFormat="false" ht="15" hidden="false" customHeight="false" outlineLevel="0" collapsed="false">
      <c r="A19" s="13" t="s">
        <v>42</v>
      </c>
      <c r="B19" s="5" t="s">
        <v>43</v>
      </c>
      <c r="C19" s="13" t="s">
        <v>13</v>
      </c>
      <c r="D19" s="13" t="s">
        <v>11</v>
      </c>
      <c r="E19" s="13" t="s">
        <v>54</v>
      </c>
      <c r="F19" s="14" t="s">
        <v>55</v>
      </c>
      <c r="G19" s="14" t="s">
        <v>56</v>
      </c>
      <c r="H19" s="13" t="s">
        <v>57</v>
      </c>
      <c r="I19" s="13" t="s">
        <v>65</v>
      </c>
      <c r="J19" s="15" t="s">
        <v>59</v>
      </c>
      <c r="K19" s="14" t="s">
        <v>49</v>
      </c>
      <c r="L19" s="16" t="n">
        <v>31</v>
      </c>
      <c r="M19" s="16" t="n">
        <v>9.9</v>
      </c>
      <c r="N19" s="16" t="n">
        <v>8.4</v>
      </c>
      <c r="O19" s="17" t="n">
        <f aca="false">L19+M19+N19</f>
        <v>49.3</v>
      </c>
      <c r="P19" s="18" t="n">
        <f aca="false">IF(O19=0,"",L19/O19)</f>
        <v>0.628803245436106</v>
      </c>
      <c r="Q19" s="13" t="s">
        <v>73</v>
      </c>
    </row>
    <row r="20" customFormat="false" ht="15" hidden="false" customHeight="false" outlineLevel="0" collapsed="false">
      <c r="A20" s="13" t="s">
        <v>42</v>
      </c>
      <c r="B20" s="5" t="s">
        <v>43</v>
      </c>
      <c r="C20" s="13" t="s">
        <v>13</v>
      </c>
      <c r="D20" s="13" t="s">
        <v>11</v>
      </c>
      <c r="E20" s="13" t="s">
        <v>54</v>
      </c>
      <c r="F20" s="14" t="s">
        <v>55</v>
      </c>
      <c r="G20" s="14" t="s">
        <v>56</v>
      </c>
      <c r="H20" s="13" t="s">
        <v>57</v>
      </c>
      <c r="I20" s="13" t="s">
        <v>67</v>
      </c>
      <c r="J20" s="15" t="s">
        <v>59</v>
      </c>
      <c r="K20" s="14" t="s">
        <v>49</v>
      </c>
      <c r="L20" s="16" t="n">
        <v>11</v>
      </c>
      <c r="M20" s="16" t="n">
        <v>9.4</v>
      </c>
      <c r="N20" s="16" t="n">
        <v>10.8</v>
      </c>
      <c r="O20" s="17" t="n">
        <f aca="false">L20+M20+N20</f>
        <v>31.2</v>
      </c>
      <c r="P20" s="18" t="n">
        <f aca="false">IF(O20=0,"",L20/O20)</f>
        <v>0.352564102564103</v>
      </c>
      <c r="Q20" s="13" t="s">
        <v>73</v>
      </c>
    </row>
    <row r="21" customFormat="false" ht="15" hidden="false" customHeight="false" outlineLevel="0" collapsed="false">
      <c r="A21" s="13" t="s">
        <v>42</v>
      </c>
      <c r="B21" s="5" t="s">
        <v>43</v>
      </c>
      <c r="C21" s="13" t="s">
        <v>13</v>
      </c>
      <c r="D21" s="13" t="s">
        <v>11</v>
      </c>
      <c r="E21" s="13" t="s">
        <v>54</v>
      </c>
      <c r="F21" s="14" t="s">
        <v>62</v>
      </c>
      <c r="G21" s="14" t="s">
        <v>63</v>
      </c>
      <c r="H21" s="13" t="s">
        <v>64</v>
      </c>
      <c r="I21" s="13" t="s">
        <v>58</v>
      </c>
      <c r="J21" s="15" t="n">
        <v>600</v>
      </c>
      <c r="K21" s="14" t="s">
        <v>49</v>
      </c>
      <c r="L21" s="16" t="n">
        <v>10.1</v>
      </c>
      <c r="M21" s="16" t="n">
        <v>8.8</v>
      </c>
      <c r="N21" s="16" t="n">
        <v>7.1</v>
      </c>
      <c r="O21" s="17" t="n">
        <f aca="false">L21+M21+N21</f>
        <v>26</v>
      </c>
      <c r="P21" s="18" t="n">
        <f aca="false">IF(O21=0,"",L21/O21)</f>
        <v>0.388461538461538</v>
      </c>
      <c r="Q21" s="13" t="s">
        <v>50</v>
      </c>
    </row>
    <row r="22" customFormat="false" ht="15" hidden="false" customHeight="false" outlineLevel="0" collapsed="false">
      <c r="A22" s="13" t="s">
        <v>42</v>
      </c>
      <c r="B22" s="5" t="s">
        <v>43</v>
      </c>
      <c r="C22" s="13" t="s">
        <v>13</v>
      </c>
      <c r="D22" s="13" t="s">
        <v>11</v>
      </c>
      <c r="E22" s="13" t="s">
        <v>54</v>
      </c>
      <c r="F22" s="14" t="s">
        <v>62</v>
      </c>
      <c r="G22" s="14" t="s">
        <v>63</v>
      </c>
      <c r="H22" s="13" t="s">
        <v>64</v>
      </c>
      <c r="I22" s="13" t="s">
        <v>60</v>
      </c>
      <c r="J22" s="15" t="n">
        <v>600</v>
      </c>
      <c r="K22" s="14" t="s">
        <v>49</v>
      </c>
      <c r="L22" s="16" t="n">
        <v>3.6</v>
      </c>
      <c r="M22" s="16" t="n">
        <v>13.6</v>
      </c>
      <c r="N22" s="16" t="n">
        <v>9.4</v>
      </c>
      <c r="O22" s="17" t="n">
        <f aca="false">L22+M22+N22</f>
        <v>26.6</v>
      </c>
      <c r="P22" s="18" t="n">
        <f aca="false">IF(O22=0,"",L22/O22)</f>
        <v>0.135338345864662</v>
      </c>
      <c r="Q22" s="13" t="s">
        <v>50</v>
      </c>
    </row>
    <row r="23" customFormat="false" ht="15" hidden="false" customHeight="false" outlineLevel="0" collapsed="false">
      <c r="A23" s="13" t="s">
        <v>42</v>
      </c>
      <c r="B23" s="5" t="s">
        <v>43</v>
      </c>
      <c r="C23" s="13" t="s">
        <v>13</v>
      </c>
      <c r="D23" s="13" t="s">
        <v>11</v>
      </c>
      <c r="E23" s="13" t="s">
        <v>54</v>
      </c>
      <c r="F23" s="14" t="s">
        <v>62</v>
      </c>
      <c r="G23" s="14" t="s">
        <v>63</v>
      </c>
      <c r="H23" s="13" t="s">
        <v>64</v>
      </c>
      <c r="I23" s="13" t="s">
        <v>61</v>
      </c>
      <c r="J23" s="19" t="n">
        <v>533.1</v>
      </c>
      <c r="K23" s="14" t="s">
        <v>49</v>
      </c>
      <c r="L23" s="16" t="n">
        <v>1.9</v>
      </c>
      <c r="M23" s="16" t="n">
        <v>2.3</v>
      </c>
      <c r="N23" s="16" t="n">
        <v>7.6</v>
      </c>
      <c r="O23" s="17" t="n">
        <f aca="false">L23+M23+N23</f>
        <v>11.8</v>
      </c>
      <c r="P23" s="18" t="n">
        <f aca="false">IF(O23=0,"",L23/O23)</f>
        <v>0.161016949152542</v>
      </c>
      <c r="Q23" s="13" t="s">
        <v>50</v>
      </c>
    </row>
    <row r="24" customFormat="false" ht="15" hidden="false" customHeight="false" outlineLevel="0" collapsed="false">
      <c r="A24" s="13" t="s">
        <v>42</v>
      </c>
      <c r="B24" s="9" t="s">
        <v>74</v>
      </c>
      <c r="C24" s="13" t="s">
        <v>14</v>
      </c>
      <c r="D24" s="13" t="s">
        <v>10</v>
      </c>
      <c r="E24" s="13" t="s">
        <v>75</v>
      </c>
      <c r="F24" s="14" t="s">
        <v>45</v>
      </c>
      <c r="G24" s="14" t="s">
        <v>76</v>
      </c>
      <c r="H24" s="13" t="s">
        <v>77</v>
      </c>
      <c r="I24" s="13" t="s">
        <v>58</v>
      </c>
      <c r="J24" s="15" t="n">
        <v>599.1</v>
      </c>
      <c r="K24" s="14" t="s">
        <v>78</v>
      </c>
      <c r="L24" s="16" t="n">
        <v>12.2</v>
      </c>
      <c r="M24" s="16" t="n">
        <v>23.4</v>
      </c>
      <c r="N24" s="16" t="n">
        <v>12.1</v>
      </c>
      <c r="O24" s="17" t="n">
        <f aca="false">L24+M24+N24</f>
        <v>47.7</v>
      </c>
      <c r="P24" s="18" t="n">
        <f aca="false">IF(O24=0,"",L24/O24)</f>
        <v>0.255765199161426</v>
      </c>
      <c r="Q24" s="13" t="s">
        <v>79</v>
      </c>
    </row>
    <row r="25" customFormat="false" ht="15" hidden="false" customHeight="false" outlineLevel="0" collapsed="false">
      <c r="A25" s="13" t="s">
        <v>42</v>
      </c>
      <c r="B25" s="9" t="s">
        <v>74</v>
      </c>
      <c r="C25" s="13" t="s">
        <v>14</v>
      </c>
      <c r="D25" s="13" t="s">
        <v>10</v>
      </c>
      <c r="E25" s="13" t="s">
        <v>75</v>
      </c>
      <c r="F25" s="14" t="s">
        <v>45</v>
      </c>
      <c r="G25" s="14" t="s">
        <v>76</v>
      </c>
      <c r="H25" s="13" t="s">
        <v>77</v>
      </c>
      <c r="I25" s="13" t="s">
        <v>60</v>
      </c>
      <c r="J25" s="15" t="n">
        <v>599.1</v>
      </c>
      <c r="K25" s="14" t="s">
        <v>78</v>
      </c>
      <c r="L25" s="16" t="n">
        <v>33.6</v>
      </c>
      <c r="M25" s="16" t="n">
        <v>17.4</v>
      </c>
      <c r="N25" s="16" t="n">
        <v>26.6</v>
      </c>
      <c r="O25" s="17" t="n">
        <f aca="false">L25+M25+N25</f>
        <v>77.6</v>
      </c>
      <c r="P25" s="18" t="n">
        <f aca="false">IF(O25=0,"",L25/O25)</f>
        <v>0.43298969072165</v>
      </c>
      <c r="Q25" s="13" t="s">
        <v>79</v>
      </c>
    </row>
    <row r="26" customFormat="false" ht="15" hidden="false" customHeight="false" outlineLevel="0" collapsed="false">
      <c r="A26" s="13" t="s">
        <v>42</v>
      </c>
      <c r="B26" s="9" t="s">
        <v>74</v>
      </c>
      <c r="C26" s="13" t="s">
        <v>14</v>
      </c>
      <c r="D26" s="13" t="s">
        <v>10</v>
      </c>
      <c r="E26" s="13" t="s">
        <v>75</v>
      </c>
      <c r="F26" s="14" t="s">
        <v>45</v>
      </c>
      <c r="G26" s="14" t="s">
        <v>76</v>
      </c>
      <c r="H26" s="13" t="s">
        <v>77</v>
      </c>
      <c r="I26" s="13" t="s">
        <v>61</v>
      </c>
      <c r="J26" s="15" t="n">
        <v>597.5</v>
      </c>
      <c r="K26" s="14" t="s">
        <v>78</v>
      </c>
      <c r="L26" s="16" t="n">
        <v>27.4</v>
      </c>
      <c r="M26" s="16" t="n">
        <v>16.2</v>
      </c>
      <c r="N26" s="16" t="n">
        <v>26.5</v>
      </c>
      <c r="O26" s="17" t="n">
        <f aca="false">L26+M26+N26</f>
        <v>70.1</v>
      </c>
      <c r="P26" s="18" t="n">
        <f aca="false">IF(O26=0,"",L26/O26)</f>
        <v>0.390870185449358</v>
      </c>
      <c r="Q26" s="13" t="s">
        <v>79</v>
      </c>
    </row>
    <row r="27" customFormat="false" ht="15" hidden="false" customHeight="false" outlineLevel="0" collapsed="false">
      <c r="A27" s="13" t="s">
        <v>42</v>
      </c>
      <c r="B27" s="9" t="s">
        <v>74</v>
      </c>
      <c r="C27" s="13" t="s">
        <v>14</v>
      </c>
      <c r="D27" s="13" t="s">
        <v>10</v>
      </c>
      <c r="E27" s="13" t="s">
        <v>75</v>
      </c>
      <c r="F27" s="14" t="s">
        <v>45</v>
      </c>
      <c r="G27" s="14" t="s">
        <v>76</v>
      </c>
      <c r="H27" s="13" t="s">
        <v>77</v>
      </c>
      <c r="I27" s="13" t="s">
        <v>65</v>
      </c>
      <c r="J27" s="15" t="n">
        <v>597.7</v>
      </c>
      <c r="K27" s="14" t="s">
        <v>78</v>
      </c>
      <c r="L27" s="16" t="n">
        <v>16.8</v>
      </c>
      <c r="M27" s="16" t="n">
        <v>11.8</v>
      </c>
      <c r="N27" s="16" t="n">
        <v>11.1</v>
      </c>
      <c r="O27" s="17" t="n">
        <f aca="false">L27+M27+N27</f>
        <v>39.7</v>
      </c>
      <c r="P27" s="18" t="n">
        <f aca="false">IF(O27=0,"",L27/O27)</f>
        <v>0.423173803526448</v>
      </c>
      <c r="Q27" s="13" t="s">
        <v>79</v>
      </c>
    </row>
    <row r="28" customFormat="false" ht="15" hidden="false" customHeight="false" outlineLevel="0" collapsed="false">
      <c r="A28" s="13" t="s">
        <v>42</v>
      </c>
      <c r="B28" s="9" t="s">
        <v>74</v>
      </c>
      <c r="C28" s="13" t="s">
        <v>14</v>
      </c>
      <c r="D28" s="13" t="s">
        <v>10</v>
      </c>
      <c r="E28" s="13" t="s">
        <v>80</v>
      </c>
      <c r="F28" s="14" t="s">
        <v>55</v>
      </c>
      <c r="G28" s="14" t="s">
        <v>81</v>
      </c>
      <c r="H28" s="13" t="s">
        <v>82</v>
      </c>
      <c r="I28" s="13" t="s">
        <v>83</v>
      </c>
      <c r="J28" s="15" t="n">
        <v>594.1</v>
      </c>
      <c r="K28" s="14" t="s">
        <v>84</v>
      </c>
      <c r="L28" s="16" t="n">
        <v>19.5</v>
      </c>
      <c r="M28" s="16" t="n">
        <v>18.2</v>
      </c>
      <c r="N28" s="16" t="n">
        <v>13.9</v>
      </c>
      <c r="O28" s="17" t="n">
        <f aca="false">L28+M28+N28</f>
        <v>51.6</v>
      </c>
      <c r="P28" s="18" t="n">
        <f aca="false">IF(O28=0,"",L28/O28)</f>
        <v>0.377906976744186</v>
      </c>
      <c r="Q28" s="13" t="s">
        <v>85</v>
      </c>
    </row>
    <row r="29" customFormat="false" ht="15" hidden="false" customHeight="false" outlineLevel="0" collapsed="false">
      <c r="A29" s="13" t="s">
        <v>42</v>
      </c>
      <c r="B29" s="9" t="s">
        <v>74</v>
      </c>
      <c r="C29" s="13" t="s">
        <v>14</v>
      </c>
      <c r="D29" s="13" t="s">
        <v>10</v>
      </c>
      <c r="E29" s="13" t="s">
        <v>80</v>
      </c>
      <c r="F29" s="14" t="s">
        <v>55</v>
      </c>
      <c r="G29" s="14" t="s">
        <v>81</v>
      </c>
      <c r="H29" s="13" t="s">
        <v>82</v>
      </c>
      <c r="I29" s="13" t="s">
        <v>86</v>
      </c>
      <c r="J29" s="15" t="n">
        <v>600</v>
      </c>
      <c r="K29" s="14" t="s">
        <v>84</v>
      </c>
      <c r="L29" s="16" t="n">
        <v>21.5</v>
      </c>
      <c r="M29" s="16" t="n">
        <v>24.5</v>
      </c>
      <c r="N29" s="16" t="n">
        <v>14.5</v>
      </c>
      <c r="O29" s="17" t="n">
        <f aca="false">L29+M29+N29</f>
        <v>60.5</v>
      </c>
      <c r="P29" s="18" t="n">
        <f aca="false">IF(O29=0,"",L29/O29)</f>
        <v>0.355371900826446</v>
      </c>
      <c r="Q29" s="13" t="s">
        <v>85</v>
      </c>
    </row>
    <row r="30" customFormat="false" ht="15" hidden="false" customHeight="false" outlineLevel="0" collapsed="false">
      <c r="A30" s="13" t="s">
        <v>42</v>
      </c>
      <c r="B30" s="9" t="s">
        <v>74</v>
      </c>
      <c r="C30" s="13" t="s">
        <v>14</v>
      </c>
      <c r="D30" s="13" t="s">
        <v>10</v>
      </c>
      <c r="E30" s="13" t="s">
        <v>80</v>
      </c>
      <c r="F30" s="14" t="s">
        <v>55</v>
      </c>
      <c r="G30" s="14" t="s">
        <v>81</v>
      </c>
      <c r="H30" s="13" t="s">
        <v>82</v>
      </c>
      <c r="I30" s="13" t="s">
        <v>87</v>
      </c>
      <c r="J30" s="15" t="n">
        <v>600</v>
      </c>
      <c r="K30" s="14" t="s">
        <v>84</v>
      </c>
      <c r="L30" s="16" t="n">
        <v>15.3</v>
      </c>
      <c r="M30" s="16" t="n">
        <v>22.1</v>
      </c>
      <c r="N30" s="16" t="n">
        <v>19.5</v>
      </c>
      <c r="O30" s="17" t="n">
        <f aca="false">L30+M30+N30</f>
        <v>56.9</v>
      </c>
      <c r="P30" s="18" t="n">
        <f aca="false">IF(O30=0,"",L30/O30)</f>
        <v>0.268892794376098</v>
      </c>
      <c r="Q30" s="13" t="s">
        <v>85</v>
      </c>
    </row>
    <row r="31" customFormat="false" ht="15" hidden="false" customHeight="false" outlineLevel="0" collapsed="false">
      <c r="A31" s="13" t="s">
        <v>42</v>
      </c>
      <c r="B31" s="9" t="s">
        <v>74</v>
      </c>
      <c r="C31" s="13" t="s">
        <v>14</v>
      </c>
      <c r="D31" s="13" t="s">
        <v>10</v>
      </c>
      <c r="E31" s="13" t="s">
        <v>88</v>
      </c>
      <c r="F31" s="14" t="s">
        <v>62</v>
      </c>
      <c r="G31" s="14" t="s">
        <v>89</v>
      </c>
      <c r="H31" s="13" t="s">
        <v>90</v>
      </c>
      <c r="I31" s="13" t="s">
        <v>91</v>
      </c>
      <c r="J31" s="15" t="n">
        <v>600</v>
      </c>
      <c r="K31" s="14" t="s">
        <v>92</v>
      </c>
      <c r="L31" s="16" t="n">
        <v>12.6</v>
      </c>
      <c r="M31" s="16" t="n">
        <v>8.3</v>
      </c>
      <c r="N31" s="16" t="n">
        <v>10</v>
      </c>
      <c r="O31" s="17" t="n">
        <f aca="false">L31+M31+N31</f>
        <v>30.9</v>
      </c>
      <c r="P31" s="18" t="n">
        <f aca="false">IF(O31=0,"",L31/O31)</f>
        <v>0.407766990291262</v>
      </c>
      <c r="Q31" s="13" t="s">
        <v>93</v>
      </c>
    </row>
    <row r="32" customFormat="false" ht="15" hidden="false" customHeight="false" outlineLevel="0" collapsed="false">
      <c r="A32" s="13" t="s">
        <v>42</v>
      </c>
      <c r="B32" s="9" t="s">
        <v>74</v>
      </c>
      <c r="C32" s="13" t="s">
        <v>14</v>
      </c>
      <c r="D32" s="13" t="s">
        <v>10</v>
      </c>
      <c r="E32" s="13" t="s">
        <v>88</v>
      </c>
      <c r="F32" s="14" t="s">
        <v>62</v>
      </c>
      <c r="G32" s="14" t="s">
        <v>89</v>
      </c>
      <c r="H32" s="13" t="s">
        <v>90</v>
      </c>
      <c r="I32" s="13" t="s">
        <v>94</v>
      </c>
      <c r="J32" s="15" t="n">
        <v>600</v>
      </c>
      <c r="K32" s="14" t="s">
        <v>92</v>
      </c>
      <c r="L32" s="16" t="n">
        <v>2</v>
      </c>
      <c r="M32" s="16" t="n">
        <v>4.3</v>
      </c>
      <c r="N32" s="16" t="n">
        <v>15.2</v>
      </c>
      <c r="O32" s="17" t="n">
        <f aca="false">L32+M32+N32</f>
        <v>21.5</v>
      </c>
      <c r="P32" s="18" t="n">
        <f aca="false">IF(O32=0,"",L32/O32)</f>
        <v>0.0930232558139535</v>
      </c>
      <c r="Q32" s="13" t="s">
        <v>93</v>
      </c>
    </row>
    <row r="33" customFormat="false" ht="15" hidden="false" customHeight="false" outlineLevel="0" collapsed="false">
      <c r="A33" s="13" t="s">
        <v>42</v>
      </c>
      <c r="B33" s="9" t="s">
        <v>74</v>
      </c>
      <c r="C33" s="13" t="s">
        <v>14</v>
      </c>
      <c r="D33" s="13" t="s">
        <v>11</v>
      </c>
      <c r="E33" s="13" t="s">
        <v>75</v>
      </c>
      <c r="F33" s="14" t="s">
        <v>45</v>
      </c>
      <c r="G33" s="14" t="s">
        <v>76</v>
      </c>
      <c r="H33" s="13" t="s">
        <v>77</v>
      </c>
      <c r="I33" s="13" t="s">
        <v>67</v>
      </c>
      <c r="J33" s="15" t="n">
        <v>597.1</v>
      </c>
      <c r="K33" s="14" t="s">
        <v>78</v>
      </c>
      <c r="L33" s="16" t="n">
        <v>31.7</v>
      </c>
      <c r="M33" s="16" t="n">
        <v>17.2</v>
      </c>
      <c r="N33" s="16" t="n">
        <v>22.3</v>
      </c>
      <c r="O33" s="17" t="n">
        <f aca="false">L33+M33+N33</f>
        <v>71.2</v>
      </c>
      <c r="P33" s="18" t="n">
        <f aca="false">IF(O33=0,"",L33/O33)</f>
        <v>0.445224719101124</v>
      </c>
      <c r="Q33" s="13" t="s">
        <v>79</v>
      </c>
    </row>
    <row r="34" customFormat="false" ht="15" hidden="false" customHeight="false" outlineLevel="0" collapsed="false">
      <c r="A34" s="13" t="s">
        <v>42</v>
      </c>
      <c r="B34" s="9" t="s">
        <v>74</v>
      </c>
      <c r="C34" s="13" t="s">
        <v>14</v>
      </c>
      <c r="D34" s="13" t="s">
        <v>11</v>
      </c>
      <c r="E34" s="13" t="s">
        <v>75</v>
      </c>
      <c r="F34" s="14" t="s">
        <v>45</v>
      </c>
      <c r="G34" s="14" t="s">
        <v>76</v>
      </c>
      <c r="H34" s="13" t="s">
        <v>77</v>
      </c>
      <c r="I34" s="13" t="s">
        <v>95</v>
      </c>
      <c r="J34" s="15" t="n">
        <v>600</v>
      </c>
      <c r="K34" s="14" t="s">
        <v>78</v>
      </c>
      <c r="L34" s="16" t="n">
        <v>22.8</v>
      </c>
      <c r="M34" s="16" t="n">
        <v>7.7</v>
      </c>
      <c r="N34" s="16" t="n">
        <v>12.6</v>
      </c>
      <c r="O34" s="17" t="n">
        <f aca="false">L34+M34+N34</f>
        <v>43.1</v>
      </c>
      <c r="P34" s="18" t="n">
        <f aca="false">IF(O34=0,"",L34/O34)</f>
        <v>0.529002320185615</v>
      </c>
      <c r="Q34" s="13" t="s">
        <v>79</v>
      </c>
    </row>
    <row r="35" customFormat="false" ht="15" hidden="false" customHeight="false" outlineLevel="0" collapsed="false">
      <c r="A35" s="13" t="s">
        <v>42</v>
      </c>
      <c r="B35" s="9" t="s">
        <v>74</v>
      </c>
      <c r="C35" s="13" t="s">
        <v>14</v>
      </c>
      <c r="D35" s="13" t="s">
        <v>11</v>
      </c>
      <c r="E35" s="13" t="s">
        <v>75</v>
      </c>
      <c r="F35" s="14" t="s">
        <v>45</v>
      </c>
      <c r="G35" s="14" t="s">
        <v>76</v>
      </c>
      <c r="H35" s="13" t="s">
        <v>77</v>
      </c>
      <c r="I35" s="13" t="s">
        <v>96</v>
      </c>
      <c r="J35" s="15" t="n">
        <v>599.2</v>
      </c>
      <c r="K35" s="14" t="s">
        <v>78</v>
      </c>
      <c r="L35" s="16" t="n">
        <v>28.1</v>
      </c>
      <c r="M35" s="16" t="n">
        <v>15</v>
      </c>
      <c r="N35" s="16" t="n">
        <v>20</v>
      </c>
      <c r="O35" s="17" t="n">
        <f aca="false">L35+M35+N35</f>
        <v>63.1</v>
      </c>
      <c r="P35" s="18" t="n">
        <f aca="false">IF(O35=0,"",L35/O35)</f>
        <v>0.445324881141046</v>
      </c>
      <c r="Q35" s="13" t="s">
        <v>79</v>
      </c>
    </row>
    <row r="36" customFormat="false" ht="15" hidden="false" customHeight="false" outlineLevel="0" collapsed="false">
      <c r="A36" s="13" t="s">
        <v>42</v>
      </c>
      <c r="B36" s="9" t="s">
        <v>74</v>
      </c>
      <c r="C36" s="13" t="s">
        <v>14</v>
      </c>
      <c r="D36" s="13" t="s">
        <v>11</v>
      </c>
      <c r="E36" s="13" t="s">
        <v>75</v>
      </c>
      <c r="F36" s="14" t="s">
        <v>45</v>
      </c>
      <c r="G36" s="14" t="s">
        <v>76</v>
      </c>
      <c r="H36" s="13" t="s">
        <v>77</v>
      </c>
      <c r="I36" s="13" t="s">
        <v>97</v>
      </c>
      <c r="J36" s="15" t="n">
        <v>598.1</v>
      </c>
      <c r="K36" s="14" t="s">
        <v>78</v>
      </c>
      <c r="L36" s="16" t="n">
        <v>21.5</v>
      </c>
      <c r="M36" s="16" t="n">
        <v>18.6</v>
      </c>
      <c r="N36" s="16" t="n">
        <v>19.3</v>
      </c>
      <c r="O36" s="17" t="n">
        <f aca="false">L36+M36+N36</f>
        <v>59.4</v>
      </c>
      <c r="P36" s="18" t="n">
        <f aca="false">IF(O36=0,"",L36/O36)</f>
        <v>0.361952861952862</v>
      </c>
      <c r="Q36" s="13" t="s">
        <v>79</v>
      </c>
    </row>
    <row r="37" customFormat="false" ht="15" hidden="false" customHeight="false" outlineLevel="0" collapsed="false">
      <c r="A37" s="13" t="s">
        <v>42</v>
      </c>
      <c r="B37" s="9" t="s">
        <v>74</v>
      </c>
      <c r="C37" s="13" t="s">
        <v>14</v>
      </c>
      <c r="D37" s="13" t="s">
        <v>11</v>
      </c>
      <c r="E37" s="13" t="s">
        <v>88</v>
      </c>
      <c r="F37" s="14" t="s">
        <v>62</v>
      </c>
      <c r="G37" s="14" t="s">
        <v>89</v>
      </c>
      <c r="H37" s="13" t="s">
        <v>90</v>
      </c>
      <c r="I37" s="13" t="s">
        <v>98</v>
      </c>
      <c r="J37" s="15" t="n">
        <v>600</v>
      </c>
      <c r="K37" s="14" t="s">
        <v>92</v>
      </c>
      <c r="L37" s="16" t="n">
        <v>14.1</v>
      </c>
      <c r="M37" s="16" t="n">
        <v>31.1</v>
      </c>
      <c r="N37" s="16" t="n">
        <v>7.3</v>
      </c>
      <c r="O37" s="17" t="n">
        <f aca="false">L37+M37+N37</f>
        <v>52.5</v>
      </c>
      <c r="P37" s="18" t="n">
        <f aca="false">IF(O37=0,"",L37/O37)</f>
        <v>0.268571428571429</v>
      </c>
      <c r="Q37" s="13" t="s">
        <v>93</v>
      </c>
    </row>
    <row r="38" customFormat="false" ht="15" hidden="false" customHeight="false" outlineLevel="0" collapsed="false">
      <c r="A38" s="13" t="s">
        <v>42</v>
      </c>
      <c r="B38" s="9" t="s">
        <v>74</v>
      </c>
      <c r="C38" s="13" t="s">
        <v>14</v>
      </c>
      <c r="D38" s="13" t="s">
        <v>11</v>
      </c>
      <c r="E38" s="13" t="s">
        <v>88</v>
      </c>
      <c r="F38" s="14" t="s">
        <v>62</v>
      </c>
      <c r="G38" s="14" t="s">
        <v>89</v>
      </c>
      <c r="H38" s="13" t="s">
        <v>90</v>
      </c>
      <c r="I38" s="13" t="s">
        <v>99</v>
      </c>
      <c r="J38" s="15" t="n">
        <v>600</v>
      </c>
      <c r="K38" s="14" t="s">
        <v>92</v>
      </c>
      <c r="L38" s="16" t="n">
        <v>13.8</v>
      </c>
      <c r="M38" s="16" t="n">
        <v>20.6</v>
      </c>
      <c r="N38" s="16" t="n">
        <v>9.1</v>
      </c>
      <c r="O38" s="17" t="n">
        <f aca="false">L38+M38+N38</f>
        <v>43.5</v>
      </c>
      <c r="P38" s="18" t="n">
        <f aca="false">IF(O38=0,"",L38/O38)</f>
        <v>0.317241379310345</v>
      </c>
      <c r="Q38" s="13" t="s">
        <v>93</v>
      </c>
    </row>
    <row r="39" customFormat="false" ht="15" hidden="false" customHeight="false" outlineLevel="0" collapsed="false">
      <c r="A39" s="13" t="s">
        <v>42</v>
      </c>
      <c r="B39" s="9" t="s">
        <v>74</v>
      </c>
      <c r="C39" s="13" t="s">
        <v>14</v>
      </c>
      <c r="D39" s="13" t="s">
        <v>11</v>
      </c>
      <c r="E39" s="13" t="s">
        <v>88</v>
      </c>
      <c r="F39" s="14" t="s">
        <v>62</v>
      </c>
      <c r="G39" s="14" t="s">
        <v>89</v>
      </c>
      <c r="H39" s="13" t="s">
        <v>90</v>
      </c>
      <c r="I39" s="13" t="s">
        <v>100</v>
      </c>
      <c r="J39" s="15" t="n">
        <v>600</v>
      </c>
      <c r="K39" s="14" t="s">
        <v>92</v>
      </c>
      <c r="L39" s="16" t="n">
        <v>7.3</v>
      </c>
      <c r="M39" s="16" t="n">
        <v>34</v>
      </c>
      <c r="N39" s="16" t="n">
        <v>5.5</v>
      </c>
      <c r="O39" s="17" t="n">
        <f aca="false">L39+M39+N39</f>
        <v>46.8</v>
      </c>
      <c r="P39" s="18" t="n">
        <f aca="false">IF(O39=0,"",L39/O39)</f>
        <v>0.155982905982906</v>
      </c>
      <c r="Q39" s="13" t="s">
        <v>93</v>
      </c>
    </row>
    <row r="40" customFormat="false" ht="15" hidden="false" customHeight="false" outlineLevel="0" collapsed="false">
      <c r="A40" s="13" t="s">
        <v>42</v>
      </c>
      <c r="B40" s="9" t="s">
        <v>74</v>
      </c>
      <c r="C40" s="13" t="s">
        <v>14</v>
      </c>
      <c r="D40" s="13" t="s">
        <v>11</v>
      </c>
      <c r="E40" s="13" t="s">
        <v>80</v>
      </c>
      <c r="F40" s="14" t="s">
        <v>55</v>
      </c>
      <c r="G40" s="14" t="s">
        <v>81</v>
      </c>
      <c r="H40" s="13" t="s">
        <v>82</v>
      </c>
      <c r="I40" s="13" t="s">
        <v>101</v>
      </c>
      <c r="J40" s="15" t="n">
        <v>597.7</v>
      </c>
      <c r="K40" s="14" t="s">
        <v>84</v>
      </c>
      <c r="L40" s="16" t="n">
        <v>28.8</v>
      </c>
      <c r="M40" s="16" t="n">
        <v>18.6</v>
      </c>
      <c r="N40" s="16" t="n">
        <v>27.1</v>
      </c>
      <c r="O40" s="17" t="n">
        <f aca="false">L40+M40+N40</f>
        <v>74.5</v>
      </c>
      <c r="P40" s="18" t="n">
        <f aca="false">IF(O40=0,"",L40/O40)</f>
        <v>0.386577181208054</v>
      </c>
      <c r="Q40" s="13" t="s">
        <v>85</v>
      </c>
    </row>
    <row r="41" customFormat="false" ht="15" hidden="false" customHeight="false" outlineLevel="0" collapsed="false">
      <c r="A41" s="13" t="s">
        <v>42</v>
      </c>
      <c r="B41" s="9" t="s">
        <v>74</v>
      </c>
      <c r="C41" s="13" t="s">
        <v>14</v>
      </c>
      <c r="D41" s="13" t="s">
        <v>11</v>
      </c>
      <c r="E41" s="13" t="s">
        <v>80</v>
      </c>
      <c r="F41" s="14" t="s">
        <v>55</v>
      </c>
      <c r="G41" s="14" t="s">
        <v>81</v>
      </c>
      <c r="H41" s="13" t="s">
        <v>82</v>
      </c>
      <c r="I41" s="13" t="s">
        <v>102</v>
      </c>
      <c r="J41" s="15" t="n">
        <v>600</v>
      </c>
      <c r="K41" s="14" t="s">
        <v>84</v>
      </c>
      <c r="L41" s="16" t="n">
        <v>19.4</v>
      </c>
      <c r="M41" s="16" t="n">
        <v>30.9</v>
      </c>
      <c r="N41" s="16" t="n">
        <v>19.6</v>
      </c>
      <c r="O41" s="17" t="n">
        <f aca="false">L41+M41+N41</f>
        <v>69.9</v>
      </c>
      <c r="P41" s="18" t="n">
        <f aca="false">IF(O41=0,"",L41/O41)</f>
        <v>0.277539341917024</v>
      </c>
      <c r="Q41" s="13" t="s">
        <v>85</v>
      </c>
    </row>
    <row r="42" customFormat="false" ht="15" hidden="false" customHeight="false" outlineLevel="0" collapsed="false">
      <c r="A42" s="13" t="s">
        <v>42</v>
      </c>
      <c r="B42" s="10" t="s">
        <v>103</v>
      </c>
      <c r="C42" s="13" t="s">
        <v>15</v>
      </c>
      <c r="D42" s="13" t="s">
        <v>10</v>
      </c>
      <c r="E42" s="13" t="s">
        <v>44</v>
      </c>
      <c r="F42" s="14" t="s">
        <v>45</v>
      </c>
      <c r="G42" s="14" t="s">
        <v>46</v>
      </c>
      <c r="H42" s="13" t="s">
        <v>47</v>
      </c>
      <c r="I42" s="13" t="s">
        <v>104</v>
      </c>
      <c r="J42" s="15" t="n">
        <v>590.6</v>
      </c>
      <c r="K42" s="14" t="s">
        <v>49</v>
      </c>
      <c r="L42" s="16" t="n">
        <v>5.1</v>
      </c>
      <c r="M42" s="16" t="n">
        <v>7.9</v>
      </c>
      <c r="N42" s="16" t="n">
        <v>9.8</v>
      </c>
      <c r="O42" s="17" t="n">
        <f aca="false">L42+M42+N42</f>
        <v>22.8</v>
      </c>
      <c r="P42" s="18" t="n">
        <f aca="false">IF(O42=0,"",L42/O42)</f>
        <v>0.223684210526316</v>
      </c>
      <c r="Q42" s="13" t="s">
        <v>50</v>
      </c>
    </row>
    <row r="43" customFormat="false" ht="15" hidden="false" customHeight="false" outlineLevel="0" collapsed="false">
      <c r="A43" s="13" t="s">
        <v>42</v>
      </c>
      <c r="B43" s="10" t="s">
        <v>103</v>
      </c>
      <c r="C43" s="13" t="s">
        <v>15</v>
      </c>
      <c r="D43" s="13" t="s">
        <v>10</v>
      </c>
      <c r="E43" s="13" t="s">
        <v>44</v>
      </c>
      <c r="F43" s="14" t="s">
        <v>45</v>
      </c>
      <c r="G43" s="14" t="s">
        <v>46</v>
      </c>
      <c r="H43" s="13" t="s">
        <v>47</v>
      </c>
      <c r="I43" s="13" t="s">
        <v>105</v>
      </c>
      <c r="J43" s="15" t="n">
        <v>596.4</v>
      </c>
      <c r="K43" s="14" t="s">
        <v>49</v>
      </c>
      <c r="L43" s="16" t="n">
        <v>7.3</v>
      </c>
      <c r="M43" s="16" t="n">
        <v>3.2</v>
      </c>
      <c r="N43" s="16" t="n">
        <v>8.5</v>
      </c>
      <c r="O43" s="17" t="n">
        <f aca="false">L43+M43+N43</f>
        <v>19</v>
      </c>
      <c r="P43" s="18" t="n">
        <f aca="false">IF(O43=0,"",L43/O43)</f>
        <v>0.384210526315789</v>
      </c>
      <c r="Q43" s="13" t="s">
        <v>50</v>
      </c>
    </row>
    <row r="44" customFormat="false" ht="15" hidden="false" customHeight="false" outlineLevel="0" collapsed="false">
      <c r="A44" s="13" t="s">
        <v>42</v>
      </c>
      <c r="B44" s="10" t="s">
        <v>103</v>
      </c>
      <c r="C44" s="13" t="s">
        <v>15</v>
      </c>
      <c r="D44" s="13" t="s">
        <v>10</v>
      </c>
      <c r="E44" s="13" t="s">
        <v>44</v>
      </c>
      <c r="F44" s="14" t="s">
        <v>45</v>
      </c>
      <c r="G44" s="14" t="s">
        <v>46</v>
      </c>
      <c r="H44" s="13" t="s">
        <v>47</v>
      </c>
      <c r="I44" s="13" t="s">
        <v>106</v>
      </c>
      <c r="J44" s="15" t="n">
        <v>599.2</v>
      </c>
      <c r="K44" s="14" t="s">
        <v>49</v>
      </c>
      <c r="L44" s="16" t="n">
        <v>4.1</v>
      </c>
      <c r="M44" s="16" t="n">
        <v>10.1</v>
      </c>
      <c r="N44" s="16" t="n">
        <v>10.2</v>
      </c>
      <c r="O44" s="17" t="n">
        <f aca="false">L44+M44+N44</f>
        <v>24.4</v>
      </c>
      <c r="P44" s="18" t="n">
        <f aca="false">IF(O44=0,"",L44/O44)</f>
        <v>0.168032786885246</v>
      </c>
      <c r="Q44" s="13" t="s">
        <v>50</v>
      </c>
    </row>
    <row r="45" customFormat="false" ht="15" hidden="false" customHeight="false" outlineLevel="0" collapsed="false">
      <c r="A45" s="13" t="s">
        <v>42</v>
      </c>
      <c r="B45" s="10" t="s">
        <v>103</v>
      </c>
      <c r="C45" s="13" t="s">
        <v>15</v>
      </c>
      <c r="D45" s="13" t="s">
        <v>10</v>
      </c>
      <c r="E45" s="13" t="s">
        <v>44</v>
      </c>
      <c r="F45" s="14" t="s">
        <v>45</v>
      </c>
      <c r="G45" s="14" t="s">
        <v>46</v>
      </c>
      <c r="H45" s="13" t="s">
        <v>47</v>
      </c>
      <c r="I45" s="13" t="s">
        <v>107</v>
      </c>
      <c r="J45" s="15" t="n">
        <v>599.1</v>
      </c>
      <c r="K45" s="14" t="s">
        <v>49</v>
      </c>
      <c r="L45" s="16" t="n">
        <v>13.5</v>
      </c>
      <c r="M45" s="16" t="n">
        <v>7.9</v>
      </c>
      <c r="N45" s="16" t="n">
        <v>13.5</v>
      </c>
      <c r="O45" s="17" t="n">
        <f aca="false">L45+M45+N45</f>
        <v>34.9</v>
      </c>
      <c r="P45" s="18" t="n">
        <f aca="false">IF(O45=0,"",L45/O45)</f>
        <v>0.386819484240688</v>
      </c>
      <c r="Q45" s="13" t="s">
        <v>50</v>
      </c>
    </row>
    <row r="46" customFormat="false" ht="15" hidden="false" customHeight="false" outlineLevel="0" collapsed="false">
      <c r="A46" s="13" t="s">
        <v>42</v>
      </c>
      <c r="B46" s="10" t="s">
        <v>103</v>
      </c>
      <c r="C46" s="13" t="s">
        <v>15</v>
      </c>
      <c r="D46" s="13" t="s">
        <v>10</v>
      </c>
      <c r="E46" s="13" t="s">
        <v>44</v>
      </c>
      <c r="F46" s="14" t="s">
        <v>45</v>
      </c>
      <c r="G46" s="14" t="s">
        <v>46</v>
      </c>
      <c r="H46" s="13" t="s">
        <v>47</v>
      </c>
      <c r="I46" s="13" t="s">
        <v>108</v>
      </c>
      <c r="J46" s="15" t="n">
        <v>600</v>
      </c>
      <c r="K46" s="14" t="s">
        <v>49</v>
      </c>
      <c r="L46" s="16" t="n">
        <v>10.5</v>
      </c>
      <c r="M46" s="16" t="n">
        <v>13.5</v>
      </c>
      <c r="N46" s="16" t="n">
        <v>5.5</v>
      </c>
      <c r="O46" s="17" t="n">
        <f aca="false">L46+M46+N46</f>
        <v>29.5</v>
      </c>
      <c r="P46" s="18" t="n">
        <f aca="false">IF(O46=0,"",L46/O46)</f>
        <v>0.355932203389831</v>
      </c>
      <c r="Q46" s="13" t="s">
        <v>50</v>
      </c>
    </row>
    <row r="47" customFormat="false" ht="15" hidden="false" customHeight="false" outlineLevel="0" collapsed="false">
      <c r="A47" s="13" t="s">
        <v>42</v>
      </c>
      <c r="B47" s="10" t="s">
        <v>103</v>
      </c>
      <c r="C47" s="13" t="s">
        <v>15</v>
      </c>
      <c r="D47" s="13" t="s">
        <v>10</v>
      </c>
      <c r="E47" s="13" t="s">
        <v>80</v>
      </c>
      <c r="F47" s="14" t="s">
        <v>55</v>
      </c>
      <c r="G47" s="14" t="s">
        <v>81</v>
      </c>
      <c r="H47" s="13" t="s">
        <v>82</v>
      </c>
      <c r="I47" s="13" t="s">
        <v>109</v>
      </c>
      <c r="J47" s="15" t="n">
        <v>600</v>
      </c>
      <c r="K47" s="14" t="s">
        <v>84</v>
      </c>
      <c r="L47" s="16" t="n">
        <v>19.8</v>
      </c>
      <c r="M47" s="16" t="n">
        <v>29.9</v>
      </c>
      <c r="N47" s="16" t="n">
        <v>20.3</v>
      </c>
      <c r="O47" s="17" t="n">
        <f aca="false">L47+M47+N47</f>
        <v>70</v>
      </c>
      <c r="P47" s="18" t="n">
        <f aca="false">IF(O47=0,"",L47/O47)</f>
        <v>0.282857142857143</v>
      </c>
      <c r="Q47" s="13" t="s">
        <v>85</v>
      </c>
    </row>
    <row r="48" customFormat="false" ht="15" hidden="false" customHeight="false" outlineLevel="0" collapsed="false">
      <c r="A48" s="13" t="s">
        <v>42</v>
      </c>
      <c r="B48" s="10" t="s">
        <v>103</v>
      </c>
      <c r="C48" s="13" t="s">
        <v>15</v>
      </c>
      <c r="D48" s="13" t="s">
        <v>10</v>
      </c>
      <c r="E48" s="13" t="s">
        <v>80</v>
      </c>
      <c r="F48" s="14" t="s">
        <v>55</v>
      </c>
      <c r="G48" s="14" t="s">
        <v>81</v>
      </c>
      <c r="H48" s="13" t="s">
        <v>82</v>
      </c>
      <c r="I48" s="13" t="s">
        <v>110</v>
      </c>
      <c r="J48" s="15" t="n">
        <v>600</v>
      </c>
      <c r="K48" s="14" t="s">
        <v>84</v>
      </c>
      <c r="L48" s="16" t="n">
        <v>34.8</v>
      </c>
      <c r="M48" s="16" t="n">
        <v>14.8</v>
      </c>
      <c r="N48" s="16" t="n">
        <v>23.8</v>
      </c>
      <c r="O48" s="17" t="n">
        <f aca="false">L48+M48+N48</f>
        <v>73.4</v>
      </c>
      <c r="P48" s="18" t="n">
        <f aca="false">IF(O48=0,"",L48/O48)</f>
        <v>0.474114441416894</v>
      </c>
      <c r="Q48" s="13" t="s">
        <v>85</v>
      </c>
    </row>
    <row r="49" customFormat="false" ht="15" hidden="false" customHeight="false" outlineLevel="0" collapsed="false">
      <c r="A49" s="13" t="s">
        <v>42</v>
      </c>
      <c r="B49" s="10" t="s">
        <v>103</v>
      </c>
      <c r="C49" s="13" t="s">
        <v>15</v>
      </c>
      <c r="D49" s="13" t="s">
        <v>10</v>
      </c>
      <c r="E49" s="13" t="s">
        <v>80</v>
      </c>
      <c r="F49" s="14" t="s">
        <v>55</v>
      </c>
      <c r="G49" s="14" t="s">
        <v>81</v>
      </c>
      <c r="H49" s="13" t="s">
        <v>82</v>
      </c>
      <c r="I49" s="13" t="s">
        <v>111</v>
      </c>
      <c r="J49" s="15" t="n">
        <v>600</v>
      </c>
      <c r="K49" s="14" t="s">
        <v>84</v>
      </c>
      <c r="L49" s="16" t="n">
        <v>43.8</v>
      </c>
      <c r="M49" s="16" t="n">
        <v>18</v>
      </c>
      <c r="N49" s="16" t="n">
        <v>34.6</v>
      </c>
      <c r="O49" s="17" t="n">
        <f aca="false">L49+M49+N49</f>
        <v>96.4</v>
      </c>
      <c r="P49" s="18" t="n">
        <f aca="false">IF(O49=0,"",L49/O49)</f>
        <v>0.454356846473029</v>
      </c>
      <c r="Q49" s="13" t="s">
        <v>85</v>
      </c>
    </row>
    <row r="50" customFormat="false" ht="15" hidden="false" customHeight="false" outlineLevel="0" collapsed="false">
      <c r="A50" s="13" t="s">
        <v>42</v>
      </c>
      <c r="B50" s="10" t="s">
        <v>103</v>
      </c>
      <c r="C50" s="13" t="s">
        <v>15</v>
      </c>
      <c r="D50" s="13" t="s">
        <v>10</v>
      </c>
      <c r="E50" s="13" t="s">
        <v>88</v>
      </c>
      <c r="F50" s="14" t="s">
        <v>62</v>
      </c>
      <c r="G50" s="14" t="s">
        <v>89</v>
      </c>
      <c r="H50" s="13" t="s">
        <v>90</v>
      </c>
      <c r="I50" s="13" t="s">
        <v>112</v>
      </c>
      <c r="J50" s="15" t="n">
        <v>600</v>
      </c>
      <c r="K50" s="14" t="s">
        <v>92</v>
      </c>
      <c r="L50" s="16" t="n">
        <v>7.9</v>
      </c>
      <c r="M50" s="16" t="n">
        <v>8.9</v>
      </c>
      <c r="N50" s="16" t="n">
        <v>10.1</v>
      </c>
      <c r="O50" s="17" t="n">
        <f aca="false">L50+M50+N50</f>
        <v>26.9</v>
      </c>
      <c r="P50" s="18" t="n">
        <f aca="false">IF(O50=0,"",L50/O50)</f>
        <v>0.29368029739777</v>
      </c>
      <c r="Q50" s="13" t="s">
        <v>93</v>
      </c>
    </row>
    <row r="51" customFormat="false" ht="15" hidden="false" customHeight="false" outlineLevel="0" collapsed="false">
      <c r="A51" s="13" t="s">
        <v>42</v>
      </c>
      <c r="B51" s="10" t="s">
        <v>103</v>
      </c>
      <c r="C51" s="13" t="s">
        <v>15</v>
      </c>
      <c r="D51" s="13" t="s">
        <v>10</v>
      </c>
      <c r="E51" s="13" t="s">
        <v>88</v>
      </c>
      <c r="F51" s="14" t="s">
        <v>62</v>
      </c>
      <c r="G51" s="14" t="s">
        <v>89</v>
      </c>
      <c r="H51" s="13" t="s">
        <v>90</v>
      </c>
      <c r="I51" s="13" t="s">
        <v>113</v>
      </c>
      <c r="J51" s="15" t="n">
        <v>600</v>
      </c>
      <c r="K51" s="14" t="s">
        <v>92</v>
      </c>
      <c r="L51" s="16" t="n">
        <v>14.5</v>
      </c>
      <c r="M51" s="16" t="n">
        <v>10.4</v>
      </c>
      <c r="N51" s="16" t="n">
        <v>12.1</v>
      </c>
      <c r="O51" s="17" t="n">
        <f aca="false">L51+M51+N51</f>
        <v>37</v>
      </c>
      <c r="P51" s="18" t="n">
        <f aca="false">IF(O51=0,"",L51/O51)</f>
        <v>0.391891891891892</v>
      </c>
      <c r="Q51" s="13" t="s">
        <v>93</v>
      </c>
    </row>
    <row r="52" customFormat="false" ht="15" hidden="false" customHeight="false" outlineLevel="0" collapsed="false">
      <c r="A52" s="13" t="s">
        <v>42</v>
      </c>
      <c r="B52" s="10" t="s">
        <v>103</v>
      </c>
      <c r="C52" s="13" t="s">
        <v>15</v>
      </c>
      <c r="D52" s="13" t="s">
        <v>11</v>
      </c>
      <c r="E52" s="13" t="s">
        <v>44</v>
      </c>
      <c r="F52" s="14" t="s">
        <v>45</v>
      </c>
      <c r="G52" s="14" t="s">
        <v>46</v>
      </c>
      <c r="H52" s="13" t="s">
        <v>47</v>
      </c>
      <c r="I52" s="13" t="s">
        <v>114</v>
      </c>
      <c r="J52" s="15" t="n">
        <v>593.3</v>
      </c>
      <c r="K52" s="14" t="s">
        <v>49</v>
      </c>
      <c r="L52" s="16" t="n">
        <v>11.6</v>
      </c>
      <c r="M52" s="16" t="n">
        <v>10.7</v>
      </c>
      <c r="N52" s="16" t="n">
        <v>6</v>
      </c>
      <c r="O52" s="17" t="n">
        <f aca="false">L52+M52+N52</f>
        <v>28.3</v>
      </c>
      <c r="P52" s="18" t="n">
        <f aca="false">IF(O52=0,"",L52/O52)</f>
        <v>0.409893992932862</v>
      </c>
      <c r="Q52" s="13" t="s">
        <v>50</v>
      </c>
    </row>
    <row r="53" customFormat="false" ht="15" hidden="false" customHeight="false" outlineLevel="0" collapsed="false">
      <c r="A53" s="13" t="s">
        <v>42</v>
      </c>
      <c r="B53" s="10" t="s">
        <v>103</v>
      </c>
      <c r="C53" s="13" t="s">
        <v>15</v>
      </c>
      <c r="D53" s="13" t="s">
        <v>11</v>
      </c>
      <c r="E53" s="13" t="s">
        <v>44</v>
      </c>
      <c r="F53" s="14" t="s">
        <v>45</v>
      </c>
      <c r="G53" s="14" t="s">
        <v>46</v>
      </c>
      <c r="H53" s="13" t="s">
        <v>47</v>
      </c>
      <c r="I53" s="13" t="s">
        <v>115</v>
      </c>
      <c r="J53" s="19" t="n">
        <v>588.9</v>
      </c>
      <c r="K53" s="14" t="s">
        <v>49</v>
      </c>
      <c r="L53" s="16" t="n">
        <v>14.9</v>
      </c>
      <c r="M53" s="16" t="n">
        <v>20.3</v>
      </c>
      <c r="N53" s="16" t="n">
        <v>15</v>
      </c>
      <c r="O53" s="17" t="n">
        <f aca="false">L53+M53+N53</f>
        <v>50.2</v>
      </c>
      <c r="P53" s="18" t="n">
        <f aca="false">IF(O53=0,"",L53/O53)</f>
        <v>0.296812749003984</v>
      </c>
      <c r="Q53" s="13" t="s">
        <v>50</v>
      </c>
    </row>
    <row r="54" customFormat="false" ht="15" hidden="false" customHeight="false" outlineLevel="0" collapsed="false">
      <c r="A54" s="13" t="s">
        <v>42</v>
      </c>
      <c r="B54" s="10" t="s">
        <v>103</v>
      </c>
      <c r="C54" s="13" t="s">
        <v>15</v>
      </c>
      <c r="D54" s="13" t="s">
        <v>11</v>
      </c>
      <c r="E54" s="13" t="s">
        <v>44</v>
      </c>
      <c r="F54" s="14" t="s">
        <v>45</v>
      </c>
      <c r="G54" s="14" t="s">
        <v>46</v>
      </c>
      <c r="H54" s="13" t="s">
        <v>47</v>
      </c>
      <c r="I54" s="13" t="s">
        <v>116</v>
      </c>
      <c r="J54" s="19" t="n">
        <v>571.7</v>
      </c>
      <c r="K54" s="14" t="s">
        <v>49</v>
      </c>
      <c r="L54" s="16" t="n">
        <v>13.6</v>
      </c>
      <c r="M54" s="16" t="n">
        <v>10.7</v>
      </c>
      <c r="N54" s="16" t="n">
        <v>12.2</v>
      </c>
      <c r="O54" s="17" t="n">
        <f aca="false">L54+M54+N54</f>
        <v>36.5</v>
      </c>
      <c r="P54" s="18" t="n">
        <f aca="false">IF(O54=0,"",L54/O54)</f>
        <v>0.372602739726027</v>
      </c>
      <c r="Q54" s="13" t="s">
        <v>50</v>
      </c>
    </row>
    <row r="55" customFormat="false" ht="15" hidden="false" customHeight="false" outlineLevel="0" collapsed="false">
      <c r="A55" s="13" t="s">
        <v>42</v>
      </c>
      <c r="B55" s="10" t="s">
        <v>103</v>
      </c>
      <c r="C55" s="13" t="s">
        <v>15</v>
      </c>
      <c r="D55" s="13" t="s">
        <v>11</v>
      </c>
      <c r="E55" s="13" t="s">
        <v>44</v>
      </c>
      <c r="F55" s="14" t="s">
        <v>45</v>
      </c>
      <c r="G55" s="14" t="s">
        <v>46</v>
      </c>
      <c r="H55" s="13" t="s">
        <v>47</v>
      </c>
      <c r="I55" s="13" t="s">
        <v>117</v>
      </c>
      <c r="J55" s="15" t="n">
        <v>594.8</v>
      </c>
      <c r="K55" s="14" t="s">
        <v>49</v>
      </c>
      <c r="L55" s="16" t="n">
        <v>11.1</v>
      </c>
      <c r="M55" s="16" t="n">
        <v>7</v>
      </c>
      <c r="N55" s="16" t="n">
        <v>9.9</v>
      </c>
      <c r="O55" s="17" t="n">
        <f aca="false">L55+M55+N55</f>
        <v>28</v>
      </c>
      <c r="P55" s="18" t="n">
        <f aca="false">IF(O55=0,"",L55/O55)</f>
        <v>0.396428571428571</v>
      </c>
      <c r="Q55" s="13" t="s">
        <v>50</v>
      </c>
    </row>
    <row r="56" customFormat="false" ht="15" hidden="false" customHeight="false" outlineLevel="0" collapsed="false">
      <c r="A56" s="13" t="s">
        <v>42</v>
      </c>
      <c r="B56" s="10" t="s">
        <v>103</v>
      </c>
      <c r="C56" s="13" t="s">
        <v>15</v>
      </c>
      <c r="D56" s="13" t="s">
        <v>11</v>
      </c>
      <c r="E56" s="13" t="s">
        <v>44</v>
      </c>
      <c r="F56" s="14" t="s">
        <v>45</v>
      </c>
      <c r="G56" s="14" t="s">
        <v>46</v>
      </c>
      <c r="H56" s="13" t="s">
        <v>47</v>
      </c>
      <c r="I56" s="13" t="s">
        <v>118</v>
      </c>
      <c r="J56" s="19" t="n">
        <v>589</v>
      </c>
      <c r="K56" s="14" t="s">
        <v>49</v>
      </c>
      <c r="L56" s="16" t="n">
        <v>16.5</v>
      </c>
      <c r="M56" s="16" t="n">
        <v>4.8</v>
      </c>
      <c r="N56" s="16" t="n">
        <v>1.4</v>
      </c>
      <c r="O56" s="17" t="n">
        <f aca="false">L56+M56+N56</f>
        <v>22.7</v>
      </c>
      <c r="P56" s="18" t="n">
        <f aca="false">IF(O56=0,"",L56/O56)</f>
        <v>0.726872246696035</v>
      </c>
      <c r="Q56" s="13" t="s">
        <v>50</v>
      </c>
    </row>
    <row r="57" customFormat="false" ht="15" hidden="false" customHeight="false" outlineLevel="0" collapsed="false">
      <c r="A57" s="13" t="s">
        <v>42</v>
      </c>
      <c r="B57" s="10" t="s">
        <v>103</v>
      </c>
      <c r="C57" s="13" t="s">
        <v>15</v>
      </c>
      <c r="D57" s="13" t="s">
        <v>11</v>
      </c>
      <c r="E57" s="13" t="s">
        <v>88</v>
      </c>
      <c r="F57" s="14" t="s">
        <v>62</v>
      </c>
      <c r="G57" s="14" t="s">
        <v>89</v>
      </c>
      <c r="H57" s="13" t="s">
        <v>90</v>
      </c>
      <c r="I57" s="13" t="s">
        <v>119</v>
      </c>
      <c r="J57" s="15" t="n">
        <v>600</v>
      </c>
      <c r="K57" s="14" t="s">
        <v>92</v>
      </c>
      <c r="L57" s="16" t="n">
        <v>6.2</v>
      </c>
      <c r="M57" s="16" t="n">
        <v>5.7</v>
      </c>
      <c r="N57" s="16" t="n">
        <v>4.5</v>
      </c>
      <c r="O57" s="17" t="n">
        <f aca="false">L57+M57+N57</f>
        <v>16.4</v>
      </c>
      <c r="P57" s="18" t="n">
        <f aca="false">IF(O57=0,"",L57/O57)</f>
        <v>0.378048780487805</v>
      </c>
      <c r="Q57" s="13" t="s">
        <v>93</v>
      </c>
    </row>
    <row r="58" customFormat="false" ht="15" hidden="false" customHeight="false" outlineLevel="0" collapsed="false">
      <c r="A58" s="13" t="s">
        <v>42</v>
      </c>
      <c r="B58" s="10" t="s">
        <v>103</v>
      </c>
      <c r="C58" s="13" t="s">
        <v>15</v>
      </c>
      <c r="D58" s="13" t="s">
        <v>11</v>
      </c>
      <c r="E58" s="13" t="s">
        <v>88</v>
      </c>
      <c r="F58" s="14" t="s">
        <v>62</v>
      </c>
      <c r="G58" s="14" t="s">
        <v>89</v>
      </c>
      <c r="H58" s="13" t="s">
        <v>90</v>
      </c>
      <c r="I58" s="13" t="s">
        <v>120</v>
      </c>
      <c r="J58" s="15" t="n">
        <v>600</v>
      </c>
      <c r="K58" s="14" t="s">
        <v>92</v>
      </c>
      <c r="L58" s="16" t="n">
        <v>7.2</v>
      </c>
      <c r="M58" s="16" t="n">
        <v>7.8</v>
      </c>
      <c r="N58" s="16" t="n">
        <v>2.5</v>
      </c>
      <c r="O58" s="17" t="n">
        <f aca="false">L58+M58+N58</f>
        <v>17.5</v>
      </c>
      <c r="P58" s="18" t="n">
        <f aca="false">IF(O58=0,"",L58/O58)</f>
        <v>0.411428571428571</v>
      </c>
      <c r="Q58" s="13" t="s">
        <v>93</v>
      </c>
    </row>
    <row r="59" customFormat="false" ht="15" hidden="false" customHeight="false" outlineLevel="0" collapsed="false">
      <c r="A59" s="13" t="s">
        <v>42</v>
      </c>
      <c r="B59" s="10" t="s">
        <v>103</v>
      </c>
      <c r="C59" s="13" t="s">
        <v>15</v>
      </c>
      <c r="D59" s="13" t="s">
        <v>11</v>
      </c>
      <c r="E59" s="13" t="s">
        <v>88</v>
      </c>
      <c r="F59" s="14" t="s">
        <v>62</v>
      </c>
      <c r="G59" s="14" t="s">
        <v>89</v>
      </c>
      <c r="H59" s="13" t="s">
        <v>90</v>
      </c>
      <c r="I59" s="13" t="s">
        <v>121</v>
      </c>
      <c r="J59" s="15" t="n">
        <v>600</v>
      </c>
      <c r="K59" s="14" t="s">
        <v>92</v>
      </c>
      <c r="L59" s="16" t="n">
        <v>13.9</v>
      </c>
      <c r="M59" s="16" t="n">
        <v>34.6</v>
      </c>
      <c r="N59" s="16" t="n">
        <v>15.9</v>
      </c>
      <c r="O59" s="17" t="n">
        <f aca="false">L59+M59+N59</f>
        <v>64.4</v>
      </c>
      <c r="P59" s="18" t="n">
        <f aca="false">IF(O59=0,"",L59/O59)</f>
        <v>0.21583850931677</v>
      </c>
      <c r="Q59" s="13" t="s">
        <v>93</v>
      </c>
    </row>
    <row r="60" customFormat="false" ht="15" hidden="false" customHeight="false" outlineLevel="0" collapsed="false">
      <c r="A60" s="13" t="s">
        <v>42</v>
      </c>
      <c r="B60" s="10" t="s">
        <v>103</v>
      </c>
      <c r="C60" s="13" t="s">
        <v>15</v>
      </c>
      <c r="D60" s="13" t="s">
        <v>11</v>
      </c>
      <c r="E60" s="13" t="s">
        <v>80</v>
      </c>
      <c r="F60" s="14" t="s">
        <v>55</v>
      </c>
      <c r="G60" s="14" t="s">
        <v>81</v>
      </c>
      <c r="H60" s="13" t="s">
        <v>82</v>
      </c>
      <c r="I60" s="13" t="s">
        <v>122</v>
      </c>
      <c r="J60" s="15" t="n">
        <v>595.5</v>
      </c>
      <c r="K60" s="14" t="s">
        <v>84</v>
      </c>
      <c r="L60" s="16" t="n">
        <v>18.9</v>
      </c>
      <c r="M60" s="16" t="n">
        <v>13.9</v>
      </c>
      <c r="N60" s="16" t="n">
        <v>19.6</v>
      </c>
      <c r="O60" s="17" t="n">
        <f aca="false">L60+M60+N60</f>
        <v>52.4</v>
      </c>
      <c r="P60" s="18" t="n">
        <f aca="false">IF(O60=0,"",L60/O60)</f>
        <v>0.360687022900763</v>
      </c>
      <c r="Q60" s="13" t="s">
        <v>85</v>
      </c>
    </row>
    <row r="61" customFormat="false" ht="15" hidden="false" customHeight="false" outlineLevel="0" collapsed="false">
      <c r="A61" s="13" t="s">
        <v>42</v>
      </c>
      <c r="B61" s="10" t="s">
        <v>103</v>
      </c>
      <c r="C61" s="13" t="s">
        <v>15</v>
      </c>
      <c r="D61" s="13" t="s">
        <v>11</v>
      </c>
      <c r="E61" s="13" t="s">
        <v>80</v>
      </c>
      <c r="F61" s="14" t="s">
        <v>55</v>
      </c>
      <c r="G61" s="14" t="s">
        <v>81</v>
      </c>
      <c r="H61" s="13" t="s">
        <v>82</v>
      </c>
      <c r="I61" s="13" t="s">
        <v>123</v>
      </c>
      <c r="J61" s="15" t="n">
        <v>600</v>
      </c>
      <c r="K61" s="14" t="s">
        <v>84</v>
      </c>
      <c r="L61" s="16" t="n">
        <v>31.5</v>
      </c>
      <c r="M61" s="16" t="n">
        <v>25.1</v>
      </c>
      <c r="N61" s="16" t="n">
        <v>26.6</v>
      </c>
      <c r="O61" s="17" t="n">
        <f aca="false">L61+M61+N61</f>
        <v>83.2</v>
      </c>
      <c r="P61" s="18" t="n">
        <f aca="false">IF(O61=0,"",L61/O61)</f>
        <v>0.378605769230769</v>
      </c>
      <c r="Q61" s="13" t="s">
        <v>85</v>
      </c>
    </row>
    <row r="62" customFormat="false" ht="15" hidden="false" customHeight="false" outlineLevel="0" collapsed="false">
      <c r="A62" s="13" t="s">
        <v>124</v>
      </c>
      <c r="B62" s="5" t="s">
        <v>43</v>
      </c>
      <c r="C62" s="13" t="s">
        <v>16</v>
      </c>
      <c r="D62" s="13" t="s">
        <v>10</v>
      </c>
      <c r="E62" s="13" t="s">
        <v>125</v>
      </c>
      <c r="F62" s="14" t="s">
        <v>45</v>
      </c>
      <c r="G62" s="14" t="s">
        <v>126</v>
      </c>
      <c r="H62" s="13" t="s">
        <v>127</v>
      </c>
      <c r="I62" s="13" t="s">
        <v>128</v>
      </c>
      <c r="J62" s="15" t="n">
        <v>600</v>
      </c>
      <c r="K62" s="14" t="s">
        <v>129</v>
      </c>
      <c r="L62" s="16" t="n">
        <v>6.7</v>
      </c>
      <c r="M62" s="16" t="n">
        <v>10.4</v>
      </c>
      <c r="N62" s="16" t="n">
        <v>7.4</v>
      </c>
      <c r="O62" s="17" t="n">
        <f aca="false">L62+M62+N62</f>
        <v>24.5</v>
      </c>
      <c r="P62" s="18" t="n">
        <f aca="false">IF(O62=0,"",L62/O62)</f>
        <v>0.273469387755102</v>
      </c>
      <c r="Q62" s="13" t="s">
        <v>130</v>
      </c>
    </row>
    <row r="63" customFormat="false" ht="15" hidden="false" customHeight="false" outlineLevel="0" collapsed="false">
      <c r="A63" s="13" t="s">
        <v>124</v>
      </c>
      <c r="B63" s="5" t="s">
        <v>43</v>
      </c>
      <c r="C63" s="13" t="s">
        <v>16</v>
      </c>
      <c r="D63" s="13" t="s">
        <v>10</v>
      </c>
      <c r="E63" s="13" t="s">
        <v>125</v>
      </c>
      <c r="F63" s="14" t="s">
        <v>45</v>
      </c>
      <c r="G63" s="14" t="s">
        <v>126</v>
      </c>
      <c r="H63" s="13" t="s">
        <v>127</v>
      </c>
      <c r="I63" s="13" t="s">
        <v>131</v>
      </c>
      <c r="J63" s="15" t="n">
        <v>600</v>
      </c>
      <c r="K63" s="14" t="s">
        <v>129</v>
      </c>
      <c r="L63" s="16" t="n">
        <v>26</v>
      </c>
      <c r="M63" s="16" t="n">
        <v>9.5</v>
      </c>
      <c r="N63" s="16" t="n">
        <v>8.8</v>
      </c>
      <c r="O63" s="17" t="n">
        <f aca="false">L63+M63+N63</f>
        <v>44.3</v>
      </c>
      <c r="P63" s="18" t="n">
        <f aca="false">IF(O63=0,"",L63/O63)</f>
        <v>0.586907449209932</v>
      </c>
      <c r="Q63" s="13" t="s">
        <v>130</v>
      </c>
    </row>
    <row r="64" customFormat="false" ht="15" hidden="false" customHeight="false" outlineLevel="0" collapsed="false">
      <c r="A64" s="13" t="s">
        <v>124</v>
      </c>
      <c r="B64" s="5" t="s">
        <v>43</v>
      </c>
      <c r="C64" s="13" t="s">
        <v>16</v>
      </c>
      <c r="D64" s="13" t="s">
        <v>10</v>
      </c>
      <c r="E64" s="13" t="s">
        <v>125</v>
      </c>
      <c r="F64" s="14" t="s">
        <v>45</v>
      </c>
      <c r="G64" s="14" t="s">
        <v>126</v>
      </c>
      <c r="H64" s="13" t="s">
        <v>127</v>
      </c>
      <c r="I64" s="13" t="s">
        <v>132</v>
      </c>
      <c r="J64" s="15" t="n">
        <v>600</v>
      </c>
      <c r="K64" s="14" t="s">
        <v>129</v>
      </c>
      <c r="L64" s="16" t="n">
        <v>31.1</v>
      </c>
      <c r="M64" s="16" t="n">
        <v>14.9</v>
      </c>
      <c r="N64" s="16" t="n">
        <v>13.8</v>
      </c>
      <c r="O64" s="17" t="n">
        <f aca="false">L64+M64+N64</f>
        <v>59.8</v>
      </c>
      <c r="P64" s="18" t="n">
        <f aca="false">IF(O64=0,"",L64/O64)</f>
        <v>0.520066889632107</v>
      </c>
      <c r="Q64" s="13" t="s">
        <v>130</v>
      </c>
    </row>
    <row r="65" customFormat="false" ht="15" hidden="false" customHeight="false" outlineLevel="0" collapsed="false">
      <c r="A65" s="13" t="s">
        <v>124</v>
      </c>
      <c r="B65" s="5" t="s">
        <v>43</v>
      </c>
      <c r="C65" s="13" t="s">
        <v>16</v>
      </c>
      <c r="D65" s="13" t="s">
        <v>10</v>
      </c>
      <c r="E65" s="13" t="s">
        <v>125</v>
      </c>
      <c r="F65" s="14" t="s">
        <v>45</v>
      </c>
      <c r="G65" s="14" t="s">
        <v>126</v>
      </c>
      <c r="H65" s="13" t="s">
        <v>127</v>
      </c>
      <c r="I65" s="13" t="s">
        <v>133</v>
      </c>
      <c r="J65" s="19" t="n">
        <v>402</v>
      </c>
      <c r="K65" s="14" t="s">
        <v>129</v>
      </c>
      <c r="L65" s="16" t="n">
        <v>19.1</v>
      </c>
      <c r="M65" s="16" t="n">
        <v>26.4</v>
      </c>
      <c r="N65" s="16" t="n">
        <v>22.4</v>
      </c>
      <c r="O65" s="17" t="n">
        <f aca="false">L65+M65+N65</f>
        <v>67.9</v>
      </c>
      <c r="P65" s="18" t="n">
        <f aca="false">IF(O65=0,"",L65/O65)</f>
        <v>0.281296023564065</v>
      </c>
      <c r="Q65" s="13" t="s">
        <v>130</v>
      </c>
    </row>
    <row r="66" customFormat="false" ht="15" hidden="false" customHeight="false" outlineLevel="0" collapsed="false">
      <c r="A66" s="13" t="s">
        <v>124</v>
      </c>
      <c r="B66" s="5" t="s">
        <v>43</v>
      </c>
      <c r="C66" s="13" t="s">
        <v>16</v>
      </c>
      <c r="D66" s="13" t="s">
        <v>10</v>
      </c>
      <c r="E66" s="13" t="s">
        <v>125</v>
      </c>
      <c r="F66" s="14" t="s">
        <v>45</v>
      </c>
      <c r="G66" s="14" t="s">
        <v>126</v>
      </c>
      <c r="H66" s="13" t="s">
        <v>127</v>
      </c>
      <c r="I66" s="13" t="s">
        <v>68</v>
      </c>
      <c r="J66" s="15" t="n">
        <v>600</v>
      </c>
      <c r="K66" s="14" t="s">
        <v>129</v>
      </c>
      <c r="L66" s="16" t="n">
        <v>21.7</v>
      </c>
      <c r="M66" s="16" t="n">
        <v>14.4</v>
      </c>
      <c r="N66" s="16" t="n">
        <v>36</v>
      </c>
      <c r="O66" s="17" t="n">
        <f aca="false">L66+M66+N66</f>
        <v>72.1</v>
      </c>
      <c r="P66" s="18" t="n">
        <f aca="false">IF(O66=0,"",L66/O66)</f>
        <v>0.300970873786408</v>
      </c>
      <c r="Q66" s="13" t="s">
        <v>130</v>
      </c>
    </row>
    <row r="67" customFormat="false" ht="15" hidden="false" customHeight="false" outlineLevel="0" collapsed="false">
      <c r="A67" s="13" t="s">
        <v>124</v>
      </c>
      <c r="B67" s="5" t="s">
        <v>43</v>
      </c>
      <c r="C67" s="13" t="s">
        <v>16</v>
      </c>
      <c r="D67" s="13" t="s">
        <v>10</v>
      </c>
      <c r="E67" s="13" t="s">
        <v>134</v>
      </c>
      <c r="F67" s="14" t="s">
        <v>55</v>
      </c>
      <c r="G67" s="14" t="s">
        <v>135</v>
      </c>
      <c r="H67" s="13" t="s">
        <v>136</v>
      </c>
      <c r="I67" s="13" t="s">
        <v>58</v>
      </c>
      <c r="J67" s="15" t="n">
        <v>600</v>
      </c>
      <c r="K67" s="14" t="s">
        <v>92</v>
      </c>
      <c r="L67" s="16" t="n">
        <v>12.7</v>
      </c>
      <c r="M67" s="16" t="n">
        <v>18.3</v>
      </c>
      <c r="N67" s="16" t="n">
        <v>7</v>
      </c>
      <c r="O67" s="17" t="n">
        <f aca="false">L67+M67+N67</f>
        <v>38</v>
      </c>
      <c r="P67" s="18" t="n">
        <f aca="false">IF(O67=0,"",L67/O67)</f>
        <v>0.334210526315789</v>
      </c>
      <c r="Q67" s="13" t="s">
        <v>137</v>
      </c>
    </row>
    <row r="68" customFormat="false" ht="15" hidden="false" customHeight="false" outlineLevel="0" collapsed="false">
      <c r="A68" s="13" t="s">
        <v>124</v>
      </c>
      <c r="B68" s="5" t="s">
        <v>43</v>
      </c>
      <c r="C68" s="13" t="s">
        <v>16</v>
      </c>
      <c r="D68" s="13" t="s">
        <v>10</v>
      </c>
      <c r="E68" s="13" t="s">
        <v>134</v>
      </c>
      <c r="F68" s="14" t="s">
        <v>55</v>
      </c>
      <c r="G68" s="14" t="s">
        <v>135</v>
      </c>
      <c r="H68" s="13" t="s">
        <v>136</v>
      </c>
      <c r="I68" s="13" t="s">
        <v>60</v>
      </c>
      <c r="J68" s="15" t="n">
        <v>600</v>
      </c>
      <c r="K68" s="14" t="s">
        <v>92</v>
      </c>
      <c r="L68" s="16" t="n">
        <v>29.9</v>
      </c>
      <c r="M68" s="16" t="n">
        <v>15.1</v>
      </c>
      <c r="N68" s="16" t="n">
        <v>9.3</v>
      </c>
      <c r="O68" s="17" t="n">
        <f aca="false">L68+M68+N68</f>
        <v>54.3</v>
      </c>
      <c r="P68" s="18" t="n">
        <f aca="false">IF(O68=0,"",L68/O68)</f>
        <v>0.550644567219153</v>
      </c>
      <c r="Q68" s="13" t="s">
        <v>137</v>
      </c>
    </row>
    <row r="69" customFormat="false" ht="15" hidden="false" customHeight="false" outlineLevel="0" collapsed="false">
      <c r="A69" s="13" t="s">
        <v>124</v>
      </c>
      <c r="B69" s="5" t="s">
        <v>43</v>
      </c>
      <c r="C69" s="13" t="s">
        <v>16</v>
      </c>
      <c r="D69" s="13" t="s">
        <v>10</v>
      </c>
      <c r="E69" s="13" t="s">
        <v>134</v>
      </c>
      <c r="F69" s="14" t="s">
        <v>55</v>
      </c>
      <c r="G69" s="14" t="s">
        <v>135</v>
      </c>
      <c r="H69" s="13" t="s">
        <v>136</v>
      </c>
      <c r="I69" s="13" t="s">
        <v>61</v>
      </c>
      <c r="J69" s="15" t="n">
        <v>600</v>
      </c>
      <c r="K69" s="14" t="s">
        <v>92</v>
      </c>
      <c r="L69" s="16" t="n">
        <v>7.6</v>
      </c>
      <c r="M69" s="16" t="n">
        <v>7</v>
      </c>
      <c r="N69" s="16" t="n">
        <v>11.3</v>
      </c>
      <c r="O69" s="17" t="n">
        <f aca="false">L69+M69+N69</f>
        <v>25.9</v>
      </c>
      <c r="P69" s="18" t="n">
        <f aca="false">IF(O69=0,"",L69/O69)</f>
        <v>0.293436293436293</v>
      </c>
      <c r="Q69" s="13" t="s">
        <v>137</v>
      </c>
    </row>
    <row r="70" customFormat="false" ht="15" hidden="false" customHeight="false" outlineLevel="0" collapsed="false">
      <c r="A70" s="13" t="s">
        <v>124</v>
      </c>
      <c r="B70" s="5" t="s">
        <v>43</v>
      </c>
      <c r="C70" s="13" t="s">
        <v>16</v>
      </c>
      <c r="D70" s="13" t="s">
        <v>10</v>
      </c>
      <c r="E70" s="13" t="s">
        <v>134</v>
      </c>
      <c r="F70" s="14" t="s">
        <v>62</v>
      </c>
      <c r="G70" s="14" t="s">
        <v>138</v>
      </c>
      <c r="H70" s="13" t="s">
        <v>139</v>
      </c>
      <c r="I70" s="13" t="s">
        <v>65</v>
      </c>
      <c r="J70" s="15" t="n">
        <v>600</v>
      </c>
      <c r="K70" s="14" t="s">
        <v>140</v>
      </c>
      <c r="L70" s="16" t="n">
        <v>7.2</v>
      </c>
      <c r="M70" s="16" t="n">
        <v>11.3</v>
      </c>
      <c r="N70" s="16" t="n">
        <v>5.4</v>
      </c>
      <c r="O70" s="17" t="n">
        <f aca="false">L70+M70+N70</f>
        <v>23.9</v>
      </c>
      <c r="P70" s="18" t="n">
        <f aca="false">IF(O70=0,"",L70/O70)</f>
        <v>0.301255230125523</v>
      </c>
      <c r="Q70" s="13" t="s">
        <v>141</v>
      </c>
    </row>
    <row r="71" customFormat="false" ht="15" hidden="false" customHeight="false" outlineLevel="0" collapsed="false">
      <c r="A71" s="13" t="s">
        <v>124</v>
      </c>
      <c r="B71" s="5" t="s">
        <v>43</v>
      </c>
      <c r="C71" s="13" t="s">
        <v>16</v>
      </c>
      <c r="D71" s="13" t="s">
        <v>10</v>
      </c>
      <c r="E71" s="13" t="s">
        <v>134</v>
      </c>
      <c r="F71" s="14" t="s">
        <v>62</v>
      </c>
      <c r="G71" s="14" t="s">
        <v>138</v>
      </c>
      <c r="H71" s="13" t="s">
        <v>139</v>
      </c>
      <c r="I71" s="13" t="s">
        <v>67</v>
      </c>
      <c r="J71" s="15" t="n">
        <v>600</v>
      </c>
      <c r="K71" s="14" t="s">
        <v>140</v>
      </c>
      <c r="L71" s="16" t="n">
        <v>4.1</v>
      </c>
      <c r="M71" s="16" t="n">
        <v>6.4</v>
      </c>
      <c r="N71" s="16" t="n">
        <v>7.6</v>
      </c>
      <c r="O71" s="17" t="n">
        <f aca="false">L71+M71+N71</f>
        <v>18.1</v>
      </c>
      <c r="P71" s="18" t="n">
        <f aca="false">IF(O71=0,"",L71/O71)</f>
        <v>0.226519337016575</v>
      </c>
      <c r="Q71" s="13" t="s">
        <v>141</v>
      </c>
    </row>
    <row r="72" customFormat="false" ht="15" hidden="false" customHeight="false" outlineLevel="0" collapsed="false">
      <c r="A72" s="13" t="s">
        <v>124</v>
      </c>
      <c r="B72" s="5" t="s">
        <v>43</v>
      </c>
      <c r="C72" s="13" t="s">
        <v>16</v>
      </c>
      <c r="D72" s="13" t="s">
        <v>11</v>
      </c>
      <c r="E72" s="13" t="s">
        <v>125</v>
      </c>
      <c r="F72" s="14" t="s">
        <v>45</v>
      </c>
      <c r="G72" s="14" t="s">
        <v>126</v>
      </c>
      <c r="H72" s="13" t="s">
        <v>142</v>
      </c>
      <c r="I72" s="13" t="s">
        <v>69</v>
      </c>
      <c r="J72" s="15" t="n">
        <v>600</v>
      </c>
      <c r="K72" s="14" t="s">
        <v>129</v>
      </c>
      <c r="L72" s="16" t="n">
        <v>9.3</v>
      </c>
      <c r="M72" s="16" t="n">
        <v>19</v>
      </c>
      <c r="N72" s="16" t="n">
        <v>9.6</v>
      </c>
      <c r="O72" s="17" t="n">
        <f aca="false">L72+M72+N72</f>
        <v>37.9</v>
      </c>
      <c r="P72" s="18" t="n">
        <f aca="false">IF(O72=0,"",L72/O72)</f>
        <v>0.245382585751979</v>
      </c>
      <c r="Q72" s="13" t="s">
        <v>130</v>
      </c>
    </row>
    <row r="73" customFormat="false" ht="15" hidden="false" customHeight="false" outlineLevel="0" collapsed="false">
      <c r="A73" s="13" t="s">
        <v>124</v>
      </c>
      <c r="B73" s="5" t="s">
        <v>43</v>
      </c>
      <c r="C73" s="13" t="s">
        <v>16</v>
      </c>
      <c r="D73" s="13" t="s">
        <v>11</v>
      </c>
      <c r="E73" s="13" t="s">
        <v>125</v>
      </c>
      <c r="F73" s="14" t="s">
        <v>45</v>
      </c>
      <c r="G73" s="14" t="s">
        <v>126</v>
      </c>
      <c r="H73" s="13" t="s">
        <v>142</v>
      </c>
      <c r="I73" s="13" t="s">
        <v>70</v>
      </c>
      <c r="J73" s="15" t="n">
        <v>600</v>
      </c>
      <c r="K73" s="14" t="s">
        <v>129</v>
      </c>
      <c r="L73" s="16" t="n">
        <v>30.8</v>
      </c>
      <c r="M73" s="16" t="n">
        <v>4.8</v>
      </c>
      <c r="N73" s="16" t="n">
        <v>8.8</v>
      </c>
      <c r="O73" s="17" t="n">
        <f aca="false">L73+M73+N73</f>
        <v>44.4</v>
      </c>
      <c r="P73" s="18" t="n">
        <f aca="false">IF(O73=0,"",L73/O73)</f>
        <v>0.693693693693694</v>
      </c>
      <c r="Q73" s="13" t="s">
        <v>130</v>
      </c>
    </row>
    <row r="74" customFormat="false" ht="15" hidden="false" customHeight="false" outlineLevel="0" collapsed="false">
      <c r="A74" s="13" t="s">
        <v>124</v>
      </c>
      <c r="B74" s="5" t="s">
        <v>43</v>
      </c>
      <c r="C74" s="13" t="s">
        <v>16</v>
      </c>
      <c r="D74" s="13" t="s">
        <v>11</v>
      </c>
      <c r="E74" s="13" t="s">
        <v>125</v>
      </c>
      <c r="F74" s="14" t="s">
        <v>45</v>
      </c>
      <c r="G74" s="14" t="s">
        <v>126</v>
      </c>
      <c r="H74" s="13" t="s">
        <v>142</v>
      </c>
      <c r="I74" s="13" t="s">
        <v>71</v>
      </c>
      <c r="J74" s="15" t="n">
        <v>600</v>
      </c>
      <c r="K74" s="14" t="s">
        <v>129</v>
      </c>
      <c r="L74" s="16" t="n">
        <v>15.8</v>
      </c>
      <c r="M74" s="16" t="n">
        <v>9.5</v>
      </c>
      <c r="N74" s="16" t="n">
        <v>4.8</v>
      </c>
      <c r="O74" s="17" t="n">
        <f aca="false">L74+M74+N74</f>
        <v>30.1</v>
      </c>
      <c r="P74" s="18" t="n">
        <f aca="false">IF(O74=0,"",L74/O74)</f>
        <v>0.524916943521595</v>
      </c>
      <c r="Q74" s="13" t="s">
        <v>130</v>
      </c>
    </row>
    <row r="75" customFormat="false" ht="15" hidden="false" customHeight="false" outlineLevel="0" collapsed="false">
      <c r="A75" s="13" t="s">
        <v>124</v>
      </c>
      <c r="B75" s="5" t="s">
        <v>43</v>
      </c>
      <c r="C75" s="13" t="s">
        <v>16</v>
      </c>
      <c r="D75" s="13" t="s">
        <v>11</v>
      </c>
      <c r="E75" s="13" t="s">
        <v>125</v>
      </c>
      <c r="F75" s="14" t="s">
        <v>45</v>
      </c>
      <c r="G75" s="14" t="s">
        <v>126</v>
      </c>
      <c r="H75" s="13" t="s">
        <v>142</v>
      </c>
      <c r="I75" s="13" t="s">
        <v>72</v>
      </c>
      <c r="J75" s="15" t="n">
        <v>600</v>
      </c>
      <c r="K75" s="14" t="s">
        <v>129</v>
      </c>
      <c r="L75" s="16" t="n">
        <v>12.8</v>
      </c>
      <c r="M75" s="16" t="n">
        <v>7.4</v>
      </c>
      <c r="N75" s="16" t="n">
        <v>5.8</v>
      </c>
      <c r="O75" s="17" t="n">
        <f aca="false">L75+M75+N75</f>
        <v>26</v>
      </c>
      <c r="P75" s="18" t="n">
        <f aca="false">IF(O75=0,"",L75/O75)</f>
        <v>0.492307692307692</v>
      </c>
      <c r="Q75" s="13" t="s">
        <v>130</v>
      </c>
    </row>
    <row r="76" customFormat="false" ht="15" hidden="false" customHeight="false" outlineLevel="0" collapsed="false">
      <c r="A76" s="13" t="s">
        <v>124</v>
      </c>
      <c r="B76" s="5" t="s">
        <v>43</v>
      </c>
      <c r="C76" s="13" t="s">
        <v>16</v>
      </c>
      <c r="D76" s="13" t="s">
        <v>11</v>
      </c>
      <c r="E76" s="13" t="s">
        <v>125</v>
      </c>
      <c r="F76" s="14" t="s">
        <v>45</v>
      </c>
      <c r="G76" s="14" t="s">
        <v>126</v>
      </c>
      <c r="H76" s="13" t="s">
        <v>142</v>
      </c>
      <c r="I76" s="13" t="s">
        <v>143</v>
      </c>
      <c r="J76" s="15" t="n">
        <v>600</v>
      </c>
      <c r="K76" s="14" t="s">
        <v>129</v>
      </c>
      <c r="L76" s="16" t="n">
        <v>16.9</v>
      </c>
      <c r="M76" s="16" t="n">
        <v>8.6</v>
      </c>
      <c r="N76" s="16" t="n">
        <v>10.2</v>
      </c>
      <c r="O76" s="17" t="n">
        <f aca="false">L76+M76+N76</f>
        <v>35.7</v>
      </c>
      <c r="P76" s="18" t="n">
        <f aca="false">IF(O76=0,"",L76/O76)</f>
        <v>0.473389355742297</v>
      </c>
      <c r="Q76" s="13" t="s">
        <v>130</v>
      </c>
    </row>
    <row r="77" customFormat="false" ht="15" hidden="false" customHeight="false" outlineLevel="0" collapsed="false">
      <c r="A77" s="13" t="s">
        <v>124</v>
      </c>
      <c r="B77" s="5" t="s">
        <v>43</v>
      </c>
      <c r="C77" s="13" t="s">
        <v>16</v>
      </c>
      <c r="D77" s="13" t="s">
        <v>11</v>
      </c>
      <c r="E77" s="13" t="s">
        <v>134</v>
      </c>
      <c r="F77" s="14" t="s">
        <v>62</v>
      </c>
      <c r="G77" s="14" t="s">
        <v>138</v>
      </c>
      <c r="H77" s="13" t="s">
        <v>139</v>
      </c>
      <c r="I77" s="13" t="s">
        <v>58</v>
      </c>
      <c r="J77" s="15" t="n">
        <v>600</v>
      </c>
      <c r="K77" s="14" t="s">
        <v>140</v>
      </c>
      <c r="L77" s="16" t="n">
        <v>6.9</v>
      </c>
      <c r="M77" s="16" t="n">
        <v>3.4</v>
      </c>
      <c r="N77" s="16" t="n">
        <v>7.6</v>
      </c>
      <c r="O77" s="17" t="n">
        <f aca="false">L77+M77+N77</f>
        <v>17.9</v>
      </c>
      <c r="P77" s="18" t="n">
        <f aca="false">IF(O77=0,"",L77/O77)</f>
        <v>0.385474860335196</v>
      </c>
      <c r="Q77" s="13" t="s">
        <v>144</v>
      </c>
    </row>
    <row r="78" customFormat="false" ht="15" hidden="false" customHeight="false" outlineLevel="0" collapsed="false">
      <c r="A78" s="13" t="s">
        <v>124</v>
      </c>
      <c r="B78" s="5" t="s">
        <v>43</v>
      </c>
      <c r="C78" s="13" t="s">
        <v>16</v>
      </c>
      <c r="D78" s="13" t="s">
        <v>11</v>
      </c>
      <c r="E78" s="13" t="s">
        <v>134</v>
      </c>
      <c r="F78" s="14" t="s">
        <v>62</v>
      </c>
      <c r="G78" s="14" t="s">
        <v>138</v>
      </c>
      <c r="H78" s="13" t="s">
        <v>139</v>
      </c>
      <c r="I78" s="13" t="s">
        <v>60</v>
      </c>
      <c r="J78" s="15" t="n">
        <v>600</v>
      </c>
      <c r="K78" s="14" t="s">
        <v>140</v>
      </c>
      <c r="L78" s="16" t="n">
        <v>6.8</v>
      </c>
      <c r="M78" s="16" t="n">
        <v>3.3</v>
      </c>
      <c r="N78" s="16" t="n">
        <v>6</v>
      </c>
      <c r="O78" s="17" t="n">
        <f aca="false">L78+M78+N78</f>
        <v>16.1</v>
      </c>
      <c r="P78" s="18" t="n">
        <f aca="false">IF(O78=0,"",L78/O78)</f>
        <v>0.422360248447205</v>
      </c>
      <c r="Q78" s="13" t="s">
        <v>144</v>
      </c>
    </row>
    <row r="79" customFormat="false" ht="15" hidden="false" customHeight="false" outlineLevel="0" collapsed="false">
      <c r="A79" s="13" t="s">
        <v>124</v>
      </c>
      <c r="B79" s="5" t="s">
        <v>43</v>
      </c>
      <c r="C79" s="13" t="s">
        <v>16</v>
      </c>
      <c r="D79" s="13" t="s">
        <v>11</v>
      </c>
      <c r="E79" s="13" t="s">
        <v>134</v>
      </c>
      <c r="F79" s="14" t="s">
        <v>62</v>
      </c>
      <c r="G79" s="14" t="s">
        <v>138</v>
      </c>
      <c r="H79" s="13" t="s">
        <v>139</v>
      </c>
      <c r="I79" s="13" t="s">
        <v>61</v>
      </c>
      <c r="J79" s="15" t="n">
        <v>600</v>
      </c>
      <c r="K79" s="14" t="s">
        <v>140</v>
      </c>
      <c r="L79" s="16" t="n">
        <v>10.1</v>
      </c>
      <c r="M79" s="16" t="n">
        <v>5.7</v>
      </c>
      <c r="N79" s="16" t="n">
        <v>5.1</v>
      </c>
      <c r="O79" s="17" t="n">
        <f aca="false">L79+M79+N79</f>
        <v>20.9</v>
      </c>
      <c r="P79" s="18" t="n">
        <f aca="false">IF(O79=0,"",L79/O79)</f>
        <v>0.483253588516746</v>
      </c>
      <c r="Q79" s="13" t="s">
        <v>144</v>
      </c>
    </row>
    <row r="80" customFormat="false" ht="15" hidden="false" customHeight="false" outlineLevel="0" collapsed="false">
      <c r="A80" s="13" t="s">
        <v>124</v>
      </c>
      <c r="B80" s="5" t="s">
        <v>43</v>
      </c>
      <c r="C80" s="13" t="s">
        <v>16</v>
      </c>
      <c r="D80" s="13" t="s">
        <v>11</v>
      </c>
      <c r="E80" s="13" t="s">
        <v>134</v>
      </c>
      <c r="F80" s="14" t="s">
        <v>55</v>
      </c>
      <c r="G80" s="14" t="s">
        <v>135</v>
      </c>
      <c r="H80" s="13" t="s">
        <v>136</v>
      </c>
      <c r="I80" s="13" t="s">
        <v>65</v>
      </c>
      <c r="J80" s="15" t="n">
        <v>600</v>
      </c>
      <c r="K80" s="14" t="s">
        <v>92</v>
      </c>
      <c r="L80" s="16" t="n">
        <v>11.4</v>
      </c>
      <c r="M80" s="16" t="n">
        <v>7.4</v>
      </c>
      <c r="N80" s="16" t="n">
        <v>8.3</v>
      </c>
      <c r="O80" s="17" t="n">
        <f aca="false">L80+M80+N80</f>
        <v>27.1</v>
      </c>
      <c r="P80" s="18" t="n">
        <f aca="false">IF(O80=0,"",L80/O80)</f>
        <v>0.420664206642066</v>
      </c>
      <c r="Q80" s="13" t="s">
        <v>145</v>
      </c>
    </row>
    <row r="81" customFormat="false" ht="15" hidden="false" customHeight="false" outlineLevel="0" collapsed="false">
      <c r="A81" s="13" t="s">
        <v>124</v>
      </c>
      <c r="B81" s="5" t="s">
        <v>43</v>
      </c>
      <c r="C81" s="13" t="s">
        <v>16</v>
      </c>
      <c r="D81" s="13" t="s">
        <v>11</v>
      </c>
      <c r="E81" s="13" t="s">
        <v>134</v>
      </c>
      <c r="F81" s="14" t="s">
        <v>55</v>
      </c>
      <c r="G81" s="14" t="s">
        <v>135</v>
      </c>
      <c r="H81" s="13" t="s">
        <v>136</v>
      </c>
      <c r="I81" s="13" t="s">
        <v>67</v>
      </c>
      <c r="J81" s="15" t="n">
        <v>600</v>
      </c>
      <c r="K81" s="14" t="s">
        <v>92</v>
      </c>
      <c r="L81" s="16" t="n">
        <v>18.3</v>
      </c>
      <c r="M81" s="16" t="n">
        <v>12.5</v>
      </c>
      <c r="N81" s="16" t="n">
        <v>18.5</v>
      </c>
      <c r="O81" s="17" t="n">
        <f aca="false">L81+M81+N81</f>
        <v>49.3</v>
      </c>
      <c r="P81" s="18" t="n">
        <f aca="false">IF(O81=0,"",L81/O81)</f>
        <v>0.371196754563895</v>
      </c>
      <c r="Q81" s="13" t="s">
        <v>145</v>
      </c>
    </row>
    <row r="82" customFormat="false" ht="15" hidden="false" customHeight="false" outlineLevel="0" collapsed="false">
      <c r="A82" s="13" t="s">
        <v>124</v>
      </c>
      <c r="B82" s="9" t="s">
        <v>74</v>
      </c>
      <c r="C82" s="13" t="s">
        <v>17</v>
      </c>
      <c r="D82" s="13" t="s">
        <v>10</v>
      </c>
      <c r="E82" s="13" t="s">
        <v>125</v>
      </c>
      <c r="F82" s="14" t="s">
        <v>45</v>
      </c>
      <c r="G82" s="14" t="s">
        <v>126</v>
      </c>
      <c r="H82" s="13" t="s">
        <v>127</v>
      </c>
      <c r="I82" s="13" t="s">
        <v>146</v>
      </c>
      <c r="J82" s="15" t="n">
        <v>600</v>
      </c>
      <c r="K82" s="14" t="s">
        <v>129</v>
      </c>
      <c r="L82" s="16" t="n">
        <v>18</v>
      </c>
      <c r="M82" s="16" t="n">
        <v>11.5</v>
      </c>
      <c r="N82" s="16" t="n">
        <v>13.1</v>
      </c>
      <c r="O82" s="17" t="n">
        <f aca="false">L82+M82+N82</f>
        <v>42.6</v>
      </c>
      <c r="P82" s="18" t="n">
        <f aca="false">IF(O82=0,"",L82/O82)</f>
        <v>0.422535211267606</v>
      </c>
      <c r="Q82" s="13" t="s">
        <v>130</v>
      </c>
    </row>
    <row r="83" customFormat="false" ht="15" hidden="false" customHeight="false" outlineLevel="0" collapsed="false">
      <c r="A83" s="13" t="s">
        <v>124</v>
      </c>
      <c r="B83" s="9" t="s">
        <v>74</v>
      </c>
      <c r="C83" s="13" t="s">
        <v>17</v>
      </c>
      <c r="D83" s="13" t="s">
        <v>10</v>
      </c>
      <c r="E83" s="13" t="s">
        <v>125</v>
      </c>
      <c r="F83" s="14" t="s">
        <v>45</v>
      </c>
      <c r="G83" s="14" t="s">
        <v>126</v>
      </c>
      <c r="H83" s="13" t="s">
        <v>127</v>
      </c>
      <c r="I83" s="13" t="s">
        <v>147</v>
      </c>
      <c r="J83" s="19" t="n">
        <v>508.4</v>
      </c>
      <c r="K83" s="14" t="s">
        <v>129</v>
      </c>
      <c r="L83" s="16" t="n">
        <v>6</v>
      </c>
      <c r="M83" s="16" t="n">
        <v>10.3</v>
      </c>
      <c r="N83" s="16" t="n">
        <v>12.7</v>
      </c>
      <c r="O83" s="17" t="n">
        <f aca="false">L83+M83+N83</f>
        <v>29</v>
      </c>
      <c r="P83" s="18" t="n">
        <f aca="false">IF(O83=0,"",L83/O83)</f>
        <v>0.206896551724138</v>
      </c>
      <c r="Q83" s="13" t="s">
        <v>130</v>
      </c>
    </row>
    <row r="84" customFormat="false" ht="15" hidden="false" customHeight="false" outlineLevel="0" collapsed="false">
      <c r="A84" s="13" t="s">
        <v>124</v>
      </c>
      <c r="B84" s="9" t="s">
        <v>74</v>
      </c>
      <c r="C84" s="13" t="s">
        <v>17</v>
      </c>
      <c r="D84" s="13" t="s">
        <v>10</v>
      </c>
      <c r="E84" s="13" t="s">
        <v>125</v>
      </c>
      <c r="F84" s="14" t="s">
        <v>45</v>
      </c>
      <c r="G84" s="14" t="s">
        <v>126</v>
      </c>
      <c r="H84" s="13" t="s">
        <v>127</v>
      </c>
      <c r="I84" s="13" t="s">
        <v>100</v>
      </c>
      <c r="J84" s="19" t="n">
        <v>577.4</v>
      </c>
      <c r="K84" s="14" t="s">
        <v>129</v>
      </c>
      <c r="L84" s="16" t="n">
        <v>5.2</v>
      </c>
      <c r="M84" s="16" t="n">
        <v>15.3</v>
      </c>
      <c r="N84" s="16" t="n">
        <v>21.7</v>
      </c>
      <c r="O84" s="17" t="n">
        <f aca="false">L84+M84+N84</f>
        <v>42.2</v>
      </c>
      <c r="P84" s="18" t="n">
        <f aca="false">IF(O84=0,"",L84/O84)</f>
        <v>0.123222748815166</v>
      </c>
      <c r="Q84" s="13" t="s">
        <v>130</v>
      </c>
    </row>
    <row r="85" customFormat="false" ht="15" hidden="false" customHeight="false" outlineLevel="0" collapsed="false">
      <c r="A85" s="13" t="s">
        <v>124</v>
      </c>
      <c r="B85" s="9" t="s">
        <v>74</v>
      </c>
      <c r="C85" s="13" t="s">
        <v>17</v>
      </c>
      <c r="D85" s="13" t="s">
        <v>10</v>
      </c>
      <c r="E85" s="13" t="s">
        <v>125</v>
      </c>
      <c r="F85" s="14" t="s">
        <v>45</v>
      </c>
      <c r="G85" s="14" t="s">
        <v>126</v>
      </c>
      <c r="H85" s="13" t="s">
        <v>127</v>
      </c>
      <c r="I85" s="13" t="s">
        <v>91</v>
      </c>
      <c r="J85" s="15" t="n">
        <v>600</v>
      </c>
      <c r="K85" s="14" t="s">
        <v>129</v>
      </c>
      <c r="L85" s="16" t="n">
        <v>12</v>
      </c>
      <c r="M85" s="16" t="n">
        <v>5.7</v>
      </c>
      <c r="N85" s="16" t="n">
        <v>6.6</v>
      </c>
      <c r="O85" s="17" t="n">
        <f aca="false">L85+M85+N85</f>
        <v>24.3</v>
      </c>
      <c r="P85" s="18" t="n">
        <f aca="false">IF(O85=0,"",L85/O85)</f>
        <v>0.493827160493827</v>
      </c>
      <c r="Q85" s="13" t="s">
        <v>130</v>
      </c>
    </row>
    <row r="86" customFormat="false" ht="15" hidden="false" customHeight="false" outlineLevel="0" collapsed="false">
      <c r="A86" s="13" t="s">
        <v>124</v>
      </c>
      <c r="B86" s="9" t="s">
        <v>74</v>
      </c>
      <c r="C86" s="13" t="s">
        <v>17</v>
      </c>
      <c r="D86" s="13" t="s">
        <v>10</v>
      </c>
      <c r="E86" s="13" t="s">
        <v>125</v>
      </c>
      <c r="F86" s="14" t="s">
        <v>45</v>
      </c>
      <c r="G86" s="14" t="s">
        <v>126</v>
      </c>
      <c r="H86" s="13" t="s">
        <v>127</v>
      </c>
      <c r="I86" s="13" t="s">
        <v>94</v>
      </c>
      <c r="J86" s="15" t="n">
        <v>600</v>
      </c>
      <c r="K86" s="14" t="s">
        <v>129</v>
      </c>
      <c r="L86" s="16" t="n">
        <v>15.6</v>
      </c>
      <c r="M86" s="16" t="n">
        <v>9.4</v>
      </c>
      <c r="N86" s="16" t="n">
        <v>13.3</v>
      </c>
      <c r="O86" s="17" t="n">
        <f aca="false">L86+M86+N86</f>
        <v>38.3</v>
      </c>
      <c r="P86" s="18" t="n">
        <f aca="false">IF(O86=0,"",L86/O86)</f>
        <v>0.407310704960836</v>
      </c>
      <c r="Q86" s="13" t="s">
        <v>130</v>
      </c>
    </row>
    <row r="87" customFormat="false" ht="15" hidden="false" customHeight="false" outlineLevel="0" collapsed="false">
      <c r="A87" s="13" t="s">
        <v>124</v>
      </c>
      <c r="B87" s="9" t="s">
        <v>74</v>
      </c>
      <c r="C87" s="13" t="s">
        <v>17</v>
      </c>
      <c r="D87" s="13" t="s">
        <v>10</v>
      </c>
      <c r="E87" s="13" t="s">
        <v>148</v>
      </c>
      <c r="F87" s="14" t="s">
        <v>55</v>
      </c>
      <c r="G87" s="14" t="s">
        <v>149</v>
      </c>
      <c r="H87" s="13" t="s">
        <v>150</v>
      </c>
      <c r="I87" s="13" t="s">
        <v>151</v>
      </c>
      <c r="J87" s="15" t="n">
        <v>600</v>
      </c>
      <c r="K87" s="14" t="s">
        <v>49</v>
      </c>
      <c r="L87" s="16" t="n">
        <v>11</v>
      </c>
      <c r="M87" s="16" t="n">
        <v>6.9</v>
      </c>
      <c r="N87" s="16" t="n">
        <v>9</v>
      </c>
      <c r="O87" s="17" t="n">
        <f aca="false">L87+M87+N87</f>
        <v>26.9</v>
      </c>
      <c r="P87" s="18" t="n">
        <f aca="false">IF(O87=0,"",L87/O87)</f>
        <v>0.408921933085502</v>
      </c>
      <c r="Q87" s="13" t="s">
        <v>50</v>
      </c>
    </row>
    <row r="88" customFormat="false" ht="15" hidden="false" customHeight="false" outlineLevel="0" collapsed="false">
      <c r="A88" s="13" t="s">
        <v>124</v>
      </c>
      <c r="B88" s="9" t="s">
        <v>74</v>
      </c>
      <c r="C88" s="13" t="s">
        <v>17</v>
      </c>
      <c r="D88" s="13" t="s">
        <v>10</v>
      </c>
      <c r="E88" s="13" t="s">
        <v>148</v>
      </c>
      <c r="F88" s="14" t="s">
        <v>55</v>
      </c>
      <c r="G88" s="14" t="s">
        <v>149</v>
      </c>
      <c r="H88" s="13" t="s">
        <v>150</v>
      </c>
      <c r="I88" s="13" t="s">
        <v>152</v>
      </c>
      <c r="J88" s="15" t="n">
        <v>600</v>
      </c>
      <c r="K88" s="14" t="s">
        <v>49</v>
      </c>
      <c r="L88" s="16" t="n">
        <v>19.9</v>
      </c>
      <c r="M88" s="16" t="n">
        <v>4.3</v>
      </c>
      <c r="N88" s="16" t="n">
        <v>13.8</v>
      </c>
      <c r="O88" s="17" t="n">
        <f aca="false">L88+M88+N88</f>
        <v>38</v>
      </c>
      <c r="P88" s="18" t="n">
        <f aca="false">IF(O88=0,"",L88/O88)</f>
        <v>0.523684210526316</v>
      </c>
      <c r="Q88" s="13" t="s">
        <v>50</v>
      </c>
    </row>
    <row r="89" customFormat="false" ht="15" hidden="false" customHeight="false" outlineLevel="0" collapsed="false">
      <c r="A89" s="13" t="s">
        <v>124</v>
      </c>
      <c r="B89" s="9" t="s">
        <v>74</v>
      </c>
      <c r="C89" s="13" t="s">
        <v>17</v>
      </c>
      <c r="D89" s="13" t="s">
        <v>10</v>
      </c>
      <c r="E89" s="13" t="s">
        <v>148</v>
      </c>
      <c r="F89" s="14" t="s">
        <v>55</v>
      </c>
      <c r="G89" s="14" t="s">
        <v>149</v>
      </c>
      <c r="H89" s="13" t="s">
        <v>150</v>
      </c>
      <c r="I89" s="13" t="s">
        <v>153</v>
      </c>
      <c r="J89" s="15" t="n">
        <v>592.3</v>
      </c>
      <c r="K89" s="14" t="s">
        <v>49</v>
      </c>
      <c r="L89" s="16" t="n">
        <v>8.3</v>
      </c>
      <c r="M89" s="16" t="n">
        <v>17.7</v>
      </c>
      <c r="N89" s="16" t="n">
        <v>9.5</v>
      </c>
      <c r="O89" s="17" t="n">
        <f aca="false">L89+M89+N89</f>
        <v>35.5</v>
      </c>
      <c r="P89" s="18" t="n">
        <f aca="false">IF(O89=0,"",L89/O89)</f>
        <v>0.233802816901408</v>
      </c>
      <c r="Q89" s="13" t="s">
        <v>50</v>
      </c>
    </row>
    <row r="90" customFormat="false" ht="15" hidden="false" customHeight="false" outlineLevel="0" collapsed="false">
      <c r="A90" s="13" t="s">
        <v>124</v>
      </c>
      <c r="B90" s="9" t="s">
        <v>74</v>
      </c>
      <c r="C90" s="13" t="s">
        <v>17</v>
      </c>
      <c r="D90" s="13" t="s">
        <v>10</v>
      </c>
      <c r="E90" s="13" t="s">
        <v>148</v>
      </c>
      <c r="F90" s="14" t="s">
        <v>62</v>
      </c>
      <c r="G90" s="14" t="s">
        <v>154</v>
      </c>
      <c r="H90" s="13" t="s">
        <v>155</v>
      </c>
      <c r="I90" s="13" t="s">
        <v>91</v>
      </c>
      <c r="J90" s="15" t="n">
        <v>600</v>
      </c>
      <c r="K90" s="14" t="s">
        <v>49</v>
      </c>
      <c r="L90" s="16" t="n">
        <v>20.7</v>
      </c>
      <c r="M90" s="16" t="n">
        <v>3.8</v>
      </c>
      <c r="N90" s="16" t="n">
        <v>31.4</v>
      </c>
      <c r="O90" s="17" t="n">
        <f aca="false">L90+M90+N90</f>
        <v>55.9</v>
      </c>
      <c r="P90" s="18" t="n">
        <f aca="false">IF(O90=0,"",L90/O90)</f>
        <v>0.370304114490161</v>
      </c>
      <c r="Q90" s="13" t="s">
        <v>50</v>
      </c>
    </row>
    <row r="91" customFormat="false" ht="15" hidden="false" customHeight="false" outlineLevel="0" collapsed="false">
      <c r="A91" s="13" t="s">
        <v>124</v>
      </c>
      <c r="B91" s="9" t="s">
        <v>74</v>
      </c>
      <c r="C91" s="13" t="s">
        <v>17</v>
      </c>
      <c r="D91" s="13" t="s">
        <v>10</v>
      </c>
      <c r="E91" s="13" t="s">
        <v>148</v>
      </c>
      <c r="F91" s="14" t="s">
        <v>62</v>
      </c>
      <c r="G91" s="14" t="s">
        <v>154</v>
      </c>
      <c r="H91" s="13" t="s">
        <v>155</v>
      </c>
      <c r="I91" s="13" t="s">
        <v>94</v>
      </c>
      <c r="J91" s="15" t="n">
        <v>600</v>
      </c>
      <c r="K91" s="14" t="s">
        <v>49</v>
      </c>
      <c r="L91" s="16" t="n">
        <v>18.8</v>
      </c>
      <c r="M91" s="16" t="n">
        <v>13</v>
      </c>
      <c r="N91" s="16" t="n">
        <v>7.3</v>
      </c>
      <c r="O91" s="17" t="n">
        <f aca="false">L91+M91+N91</f>
        <v>39.1</v>
      </c>
      <c r="P91" s="18" t="n">
        <f aca="false">IF(O91=0,"",L91/O91)</f>
        <v>0.480818414322251</v>
      </c>
      <c r="Q91" s="13" t="s">
        <v>50</v>
      </c>
    </row>
    <row r="92" customFormat="false" ht="15" hidden="false" customHeight="false" outlineLevel="0" collapsed="false">
      <c r="A92" s="13" t="s">
        <v>124</v>
      </c>
      <c r="B92" s="9" t="s">
        <v>74</v>
      </c>
      <c r="C92" s="13" t="s">
        <v>17</v>
      </c>
      <c r="D92" s="13" t="s">
        <v>11</v>
      </c>
      <c r="E92" s="13" t="s">
        <v>125</v>
      </c>
      <c r="F92" s="14" t="s">
        <v>45</v>
      </c>
      <c r="G92" s="14" t="s">
        <v>126</v>
      </c>
      <c r="H92" s="13" t="s">
        <v>142</v>
      </c>
      <c r="I92" s="13" t="s">
        <v>156</v>
      </c>
      <c r="J92" s="15" t="n">
        <v>600</v>
      </c>
      <c r="K92" s="14" t="s">
        <v>129</v>
      </c>
      <c r="L92" s="16" t="n">
        <v>7.8</v>
      </c>
      <c r="M92" s="16" t="n">
        <v>9.9</v>
      </c>
      <c r="N92" s="16" t="n">
        <v>16.9</v>
      </c>
      <c r="O92" s="17" t="n">
        <f aca="false">L92+M92+N92</f>
        <v>34.6</v>
      </c>
      <c r="P92" s="18" t="n">
        <f aca="false">IF(O92=0,"",L92/O92)</f>
        <v>0.225433526011561</v>
      </c>
      <c r="Q92" s="13" t="s">
        <v>130</v>
      </c>
    </row>
    <row r="93" customFormat="false" ht="15" hidden="false" customHeight="false" outlineLevel="0" collapsed="false">
      <c r="A93" s="13" t="s">
        <v>124</v>
      </c>
      <c r="B93" s="9" t="s">
        <v>74</v>
      </c>
      <c r="C93" s="13" t="s">
        <v>17</v>
      </c>
      <c r="D93" s="13" t="s">
        <v>11</v>
      </c>
      <c r="E93" s="13" t="s">
        <v>125</v>
      </c>
      <c r="F93" s="14" t="s">
        <v>45</v>
      </c>
      <c r="G93" s="14" t="s">
        <v>126</v>
      </c>
      <c r="H93" s="13" t="s">
        <v>142</v>
      </c>
      <c r="I93" s="13" t="s">
        <v>157</v>
      </c>
      <c r="J93" s="15" t="n">
        <v>600</v>
      </c>
      <c r="K93" s="14" t="s">
        <v>129</v>
      </c>
      <c r="L93" s="16" t="n">
        <v>13.9</v>
      </c>
      <c r="M93" s="16" t="n">
        <v>4.9</v>
      </c>
      <c r="N93" s="16" t="n">
        <v>8.3</v>
      </c>
      <c r="O93" s="17" t="n">
        <f aca="false">L93+M93+N93</f>
        <v>27.1</v>
      </c>
      <c r="P93" s="18" t="n">
        <f aca="false">IF(O93=0,"",L93/O93)</f>
        <v>0.512915129151291</v>
      </c>
      <c r="Q93" s="13" t="s">
        <v>130</v>
      </c>
    </row>
    <row r="94" customFormat="false" ht="15" hidden="false" customHeight="false" outlineLevel="0" collapsed="false">
      <c r="A94" s="13" t="s">
        <v>124</v>
      </c>
      <c r="B94" s="9" t="s">
        <v>74</v>
      </c>
      <c r="C94" s="13" t="s">
        <v>17</v>
      </c>
      <c r="D94" s="13" t="s">
        <v>11</v>
      </c>
      <c r="E94" s="13" t="s">
        <v>125</v>
      </c>
      <c r="F94" s="14" t="s">
        <v>45</v>
      </c>
      <c r="G94" s="14" t="s">
        <v>126</v>
      </c>
      <c r="H94" s="13" t="s">
        <v>142</v>
      </c>
      <c r="I94" s="13" t="s">
        <v>158</v>
      </c>
      <c r="J94" s="15" t="n">
        <v>600</v>
      </c>
      <c r="K94" s="14" t="s">
        <v>129</v>
      </c>
      <c r="L94" s="16" t="n">
        <v>22.3</v>
      </c>
      <c r="M94" s="16" t="n">
        <v>13</v>
      </c>
      <c r="N94" s="16" t="n">
        <v>17.7</v>
      </c>
      <c r="O94" s="17" t="n">
        <f aca="false">L94+M94+N94</f>
        <v>53</v>
      </c>
      <c r="P94" s="18" t="n">
        <f aca="false">IF(O94=0,"",L94/O94)</f>
        <v>0.420754716981132</v>
      </c>
      <c r="Q94" s="13" t="s">
        <v>130</v>
      </c>
    </row>
    <row r="95" customFormat="false" ht="15" hidden="false" customHeight="false" outlineLevel="0" collapsed="false">
      <c r="A95" s="13" t="s">
        <v>124</v>
      </c>
      <c r="B95" s="9" t="s">
        <v>74</v>
      </c>
      <c r="C95" s="13" t="s">
        <v>17</v>
      </c>
      <c r="D95" s="13" t="s">
        <v>11</v>
      </c>
      <c r="E95" s="13" t="s">
        <v>125</v>
      </c>
      <c r="F95" s="14" t="s">
        <v>45</v>
      </c>
      <c r="G95" s="14" t="s">
        <v>126</v>
      </c>
      <c r="H95" s="13" t="s">
        <v>142</v>
      </c>
      <c r="I95" s="13" t="s">
        <v>159</v>
      </c>
      <c r="J95" s="15" t="n">
        <v>600</v>
      </c>
      <c r="K95" s="14" t="s">
        <v>129</v>
      </c>
      <c r="L95" s="16" t="n">
        <v>19.6</v>
      </c>
      <c r="M95" s="16" t="n">
        <v>9.9</v>
      </c>
      <c r="N95" s="16" t="n">
        <v>5.3</v>
      </c>
      <c r="O95" s="17" t="n">
        <f aca="false">L95+M95+N95</f>
        <v>34.8</v>
      </c>
      <c r="P95" s="18" t="n">
        <f aca="false">IF(O95=0,"",L95/O95)</f>
        <v>0.563218390804598</v>
      </c>
      <c r="Q95" s="13" t="s">
        <v>130</v>
      </c>
    </row>
    <row r="96" customFormat="false" ht="15" hidden="false" customHeight="false" outlineLevel="0" collapsed="false">
      <c r="A96" s="13" t="s">
        <v>124</v>
      </c>
      <c r="B96" s="9" t="s">
        <v>74</v>
      </c>
      <c r="C96" s="13" t="s">
        <v>17</v>
      </c>
      <c r="D96" s="13" t="s">
        <v>11</v>
      </c>
      <c r="E96" s="13" t="s">
        <v>125</v>
      </c>
      <c r="F96" s="14" t="s">
        <v>45</v>
      </c>
      <c r="G96" s="14" t="s">
        <v>126</v>
      </c>
      <c r="H96" s="13" t="s">
        <v>142</v>
      </c>
      <c r="I96" s="13" t="s">
        <v>160</v>
      </c>
      <c r="J96" s="15" t="n">
        <v>600</v>
      </c>
      <c r="K96" s="14" t="s">
        <v>129</v>
      </c>
      <c r="L96" s="16" t="n">
        <v>12.3</v>
      </c>
      <c r="M96" s="16" t="n">
        <v>3.6</v>
      </c>
      <c r="N96" s="16" t="n">
        <v>10.2</v>
      </c>
      <c r="O96" s="17" t="n">
        <f aca="false">L96+M96+N96</f>
        <v>26.1</v>
      </c>
      <c r="P96" s="18" t="n">
        <f aca="false">IF(O96=0,"",L96/O96)</f>
        <v>0.471264367816092</v>
      </c>
      <c r="Q96" s="13" t="s">
        <v>130</v>
      </c>
    </row>
    <row r="97" customFormat="false" ht="15" hidden="false" customHeight="false" outlineLevel="0" collapsed="false">
      <c r="A97" s="13" t="s">
        <v>124</v>
      </c>
      <c r="B97" s="9" t="s">
        <v>74</v>
      </c>
      <c r="C97" s="13" t="s">
        <v>17</v>
      </c>
      <c r="D97" s="13" t="s">
        <v>11</v>
      </c>
      <c r="E97" s="13" t="s">
        <v>148</v>
      </c>
      <c r="F97" s="14" t="s">
        <v>62</v>
      </c>
      <c r="G97" s="14" t="s">
        <v>154</v>
      </c>
      <c r="H97" s="13" t="s">
        <v>155</v>
      </c>
      <c r="I97" s="13" t="s">
        <v>98</v>
      </c>
      <c r="J97" s="15" t="n">
        <v>600</v>
      </c>
      <c r="K97" s="14" t="s">
        <v>49</v>
      </c>
      <c r="L97" s="16" t="n">
        <v>14.3</v>
      </c>
      <c r="M97" s="16" t="n">
        <v>11.6</v>
      </c>
      <c r="N97" s="16" t="n">
        <v>7.6</v>
      </c>
      <c r="O97" s="17" t="n">
        <f aca="false">L97+M97+N97</f>
        <v>33.5</v>
      </c>
      <c r="P97" s="18" t="n">
        <f aca="false">IF(O97=0,"",L97/O97)</f>
        <v>0.426865671641791</v>
      </c>
      <c r="Q97" s="13" t="s">
        <v>50</v>
      </c>
    </row>
    <row r="98" customFormat="false" ht="15" hidden="false" customHeight="false" outlineLevel="0" collapsed="false">
      <c r="A98" s="13" t="s">
        <v>124</v>
      </c>
      <c r="B98" s="9" t="s">
        <v>74</v>
      </c>
      <c r="C98" s="13" t="s">
        <v>17</v>
      </c>
      <c r="D98" s="13" t="s">
        <v>11</v>
      </c>
      <c r="E98" s="13" t="s">
        <v>148</v>
      </c>
      <c r="F98" s="14" t="s">
        <v>62</v>
      </c>
      <c r="G98" s="14" t="s">
        <v>154</v>
      </c>
      <c r="H98" s="13" t="s">
        <v>155</v>
      </c>
      <c r="I98" s="13" t="s">
        <v>99</v>
      </c>
      <c r="J98" s="15" t="n">
        <v>600</v>
      </c>
      <c r="K98" s="14" t="s">
        <v>49</v>
      </c>
      <c r="L98" s="16" t="n">
        <v>14.4</v>
      </c>
      <c r="M98" s="16" t="n">
        <v>13.3</v>
      </c>
      <c r="N98" s="16" t="n">
        <v>3.6</v>
      </c>
      <c r="O98" s="17" t="n">
        <f aca="false">L98+M98+N98</f>
        <v>31.3</v>
      </c>
      <c r="P98" s="18" t="n">
        <f aca="false">IF(O98=0,"",L98/O98)</f>
        <v>0.460063897763578</v>
      </c>
      <c r="Q98" s="13" t="s">
        <v>50</v>
      </c>
    </row>
    <row r="99" customFormat="false" ht="15" hidden="false" customHeight="false" outlineLevel="0" collapsed="false">
      <c r="A99" s="13" t="s">
        <v>124</v>
      </c>
      <c r="B99" s="9" t="s">
        <v>74</v>
      </c>
      <c r="C99" s="13" t="s">
        <v>17</v>
      </c>
      <c r="D99" s="13" t="s">
        <v>11</v>
      </c>
      <c r="E99" s="13" t="s">
        <v>148</v>
      </c>
      <c r="F99" s="14" t="s">
        <v>62</v>
      </c>
      <c r="G99" s="14" t="s">
        <v>154</v>
      </c>
      <c r="H99" s="13" t="s">
        <v>155</v>
      </c>
      <c r="I99" s="13" t="s">
        <v>100</v>
      </c>
      <c r="J99" s="15" t="n">
        <v>597.3</v>
      </c>
      <c r="K99" s="14" t="s">
        <v>49</v>
      </c>
      <c r="L99" s="16" t="n">
        <v>39.3</v>
      </c>
      <c r="M99" s="16" t="n">
        <v>2.5</v>
      </c>
      <c r="N99" s="16" t="n">
        <v>9</v>
      </c>
      <c r="O99" s="17" t="n">
        <f aca="false">L99+M99+N99</f>
        <v>50.8</v>
      </c>
      <c r="P99" s="18" t="n">
        <f aca="false">IF(O99=0,"",L99/O99)</f>
        <v>0.773622047244094</v>
      </c>
      <c r="Q99" s="13" t="s">
        <v>50</v>
      </c>
    </row>
    <row r="100" customFormat="false" ht="15" hidden="false" customHeight="false" outlineLevel="0" collapsed="false">
      <c r="A100" s="13" t="s">
        <v>124</v>
      </c>
      <c r="B100" s="9" t="s">
        <v>74</v>
      </c>
      <c r="C100" s="13" t="s">
        <v>17</v>
      </c>
      <c r="D100" s="13" t="s">
        <v>11</v>
      </c>
      <c r="E100" s="13" t="s">
        <v>148</v>
      </c>
      <c r="F100" s="14" t="s">
        <v>55</v>
      </c>
      <c r="G100" s="14" t="s">
        <v>149</v>
      </c>
      <c r="H100" s="13" t="s">
        <v>150</v>
      </c>
      <c r="I100" s="13" t="s">
        <v>161</v>
      </c>
      <c r="J100" s="15" t="n">
        <v>600</v>
      </c>
      <c r="K100" s="14" t="s">
        <v>49</v>
      </c>
      <c r="L100" s="16" t="n">
        <v>21.9</v>
      </c>
      <c r="M100" s="16" t="n">
        <v>11.8</v>
      </c>
      <c r="N100" s="16" t="n">
        <v>10.7</v>
      </c>
      <c r="O100" s="17" t="n">
        <f aca="false">L100+M100+N100</f>
        <v>44.4</v>
      </c>
      <c r="P100" s="18" t="n">
        <f aca="false">IF(O100=0,"",L100/O100)</f>
        <v>0.493243243243243</v>
      </c>
      <c r="Q100" s="13" t="s">
        <v>50</v>
      </c>
    </row>
    <row r="101" customFormat="false" ht="15" hidden="false" customHeight="false" outlineLevel="0" collapsed="false">
      <c r="A101" s="13" t="s">
        <v>124</v>
      </c>
      <c r="B101" s="9" t="s">
        <v>74</v>
      </c>
      <c r="C101" s="13" t="s">
        <v>17</v>
      </c>
      <c r="D101" s="13" t="s">
        <v>11</v>
      </c>
      <c r="E101" s="13" t="s">
        <v>148</v>
      </c>
      <c r="F101" s="14" t="s">
        <v>55</v>
      </c>
      <c r="G101" s="14" t="s">
        <v>149</v>
      </c>
      <c r="H101" s="13" t="s">
        <v>150</v>
      </c>
      <c r="I101" s="13" t="s">
        <v>162</v>
      </c>
      <c r="J101" s="15" t="n">
        <v>600</v>
      </c>
      <c r="K101" s="14" t="s">
        <v>49</v>
      </c>
      <c r="L101" s="16" t="n">
        <v>18.2</v>
      </c>
      <c r="M101" s="16" t="n">
        <v>17.2</v>
      </c>
      <c r="N101" s="16" t="n">
        <v>6.7</v>
      </c>
      <c r="O101" s="17" t="n">
        <f aca="false">L101+M101+N101</f>
        <v>42.1</v>
      </c>
      <c r="P101" s="18" t="n">
        <f aca="false">IF(O101=0,"",L101/O101)</f>
        <v>0.432304038004751</v>
      </c>
      <c r="Q101" s="13" t="s">
        <v>50</v>
      </c>
    </row>
    <row r="102" customFormat="false" ht="15" hidden="false" customHeight="false" outlineLevel="0" collapsed="false">
      <c r="A102" s="13" t="s">
        <v>124</v>
      </c>
      <c r="B102" s="10" t="s">
        <v>103</v>
      </c>
      <c r="C102" s="13" t="s">
        <v>18</v>
      </c>
      <c r="D102" s="13" t="s">
        <v>10</v>
      </c>
      <c r="E102" s="13" t="s">
        <v>163</v>
      </c>
      <c r="F102" s="14" t="s">
        <v>45</v>
      </c>
      <c r="G102" s="14" t="s">
        <v>164</v>
      </c>
      <c r="H102" s="13" t="s">
        <v>165</v>
      </c>
      <c r="I102" s="13" t="s">
        <v>166</v>
      </c>
      <c r="J102" s="15" t="n">
        <v>600</v>
      </c>
      <c r="K102" s="14" t="s">
        <v>167</v>
      </c>
      <c r="L102" s="16" t="n">
        <v>29.3</v>
      </c>
      <c r="M102" s="16" t="n">
        <v>22.7</v>
      </c>
      <c r="N102" s="16" t="n">
        <v>29.1</v>
      </c>
      <c r="O102" s="17" t="n">
        <f aca="false">L102+M102+N102</f>
        <v>81.1</v>
      </c>
      <c r="P102" s="18" t="n">
        <f aca="false">IF(O102=0,"",L102/O102)</f>
        <v>0.361282367447596</v>
      </c>
      <c r="Q102" s="13" t="s">
        <v>168</v>
      </c>
    </row>
    <row r="103" customFormat="false" ht="15" hidden="false" customHeight="false" outlineLevel="0" collapsed="false">
      <c r="A103" s="13" t="s">
        <v>124</v>
      </c>
      <c r="B103" s="10" t="s">
        <v>103</v>
      </c>
      <c r="C103" s="13" t="s">
        <v>18</v>
      </c>
      <c r="D103" s="13" t="s">
        <v>10</v>
      </c>
      <c r="E103" s="13" t="s">
        <v>163</v>
      </c>
      <c r="F103" s="14" t="s">
        <v>45</v>
      </c>
      <c r="G103" s="14" t="s">
        <v>164</v>
      </c>
      <c r="H103" s="13" t="s">
        <v>165</v>
      </c>
      <c r="I103" s="13" t="s">
        <v>169</v>
      </c>
      <c r="J103" s="15" t="n">
        <v>600</v>
      </c>
      <c r="K103" s="14" t="s">
        <v>167</v>
      </c>
      <c r="L103" s="16" t="n">
        <v>13</v>
      </c>
      <c r="M103" s="16" t="n">
        <v>20.3</v>
      </c>
      <c r="N103" s="16" t="n">
        <v>16.4</v>
      </c>
      <c r="O103" s="17" t="n">
        <f aca="false">L103+M103+N103</f>
        <v>49.7</v>
      </c>
      <c r="P103" s="18" t="n">
        <f aca="false">IF(O103=0,"",L103/O103)</f>
        <v>0.261569416498994</v>
      </c>
      <c r="Q103" s="13" t="s">
        <v>168</v>
      </c>
    </row>
    <row r="104" customFormat="false" ht="15" hidden="false" customHeight="false" outlineLevel="0" collapsed="false">
      <c r="A104" s="13" t="s">
        <v>124</v>
      </c>
      <c r="B104" s="10" t="s">
        <v>103</v>
      </c>
      <c r="C104" s="13" t="s">
        <v>18</v>
      </c>
      <c r="D104" s="13" t="s">
        <v>10</v>
      </c>
      <c r="E104" s="13" t="s">
        <v>163</v>
      </c>
      <c r="F104" s="14" t="s">
        <v>45</v>
      </c>
      <c r="G104" s="14" t="s">
        <v>164</v>
      </c>
      <c r="H104" s="13" t="s">
        <v>165</v>
      </c>
      <c r="I104" s="13" t="s">
        <v>170</v>
      </c>
      <c r="J104" s="15" t="n">
        <v>600</v>
      </c>
      <c r="K104" s="14" t="s">
        <v>167</v>
      </c>
      <c r="L104" s="16" t="n">
        <v>25.3</v>
      </c>
      <c r="M104" s="16" t="n">
        <v>46.2</v>
      </c>
      <c r="N104" s="16" t="n">
        <v>29.8</v>
      </c>
      <c r="O104" s="17" t="n">
        <f aca="false">L104+M104+N104</f>
        <v>101.3</v>
      </c>
      <c r="P104" s="18" t="n">
        <f aca="false">IF(O104=0,"",L104/O104)</f>
        <v>0.249753208292201</v>
      </c>
      <c r="Q104" s="13" t="s">
        <v>168</v>
      </c>
    </row>
    <row r="105" customFormat="false" ht="15" hidden="false" customHeight="false" outlineLevel="0" collapsed="false">
      <c r="A105" s="13" t="s">
        <v>124</v>
      </c>
      <c r="B105" s="10" t="s">
        <v>103</v>
      </c>
      <c r="C105" s="13" t="s">
        <v>18</v>
      </c>
      <c r="D105" s="13" t="s">
        <v>10</v>
      </c>
      <c r="E105" s="13" t="s">
        <v>163</v>
      </c>
      <c r="F105" s="14" t="s">
        <v>45</v>
      </c>
      <c r="G105" s="14" t="s">
        <v>164</v>
      </c>
      <c r="H105" s="13" t="s">
        <v>165</v>
      </c>
      <c r="I105" s="13" t="s">
        <v>171</v>
      </c>
      <c r="J105" s="15" t="n">
        <v>600</v>
      </c>
      <c r="K105" s="14" t="s">
        <v>167</v>
      </c>
      <c r="L105" s="16" t="n">
        <v>25.3</v>
      </c>
      <c r="M105" s="16" t="n">
        <v>18.3</v>
      </c>
      <c r="N105" s="16" t="n">
        <v>13.6</v>
      </c>
      <c r="O105" s="17" t="n">
        <f aca="false">L105+M105+N105</f>
        <v>57.2</v>
      </c>
      <c r="P105" s="18" t="n">
        <f aca="false">IF(O105=0,"",L105/O105)</f>
        <v>0.442307692307692</v>
      </c>
      <c r="Q105" s="13" t="s">
        <v>168</v>
      </c>
    </row>
    <row r="106" customFormat="false" ht="15" hidden="false" customHeight="false" outlineLevel="0" collapsed="false">
      <c r="A106" s="13" t="s">
        <v>124</v>
      </c>
      <c r="B106" s="10" t="s">
        <v>103</v>
      </c>
      <c r="C106" s="13" t="s">
        <v>18</v>
      </c>
      <c r="D106" s="13" t="s">
        <v>10</v>
      </c>
      <c r="E106" s="13" t="s">
        <v>163</v>
      </c>
      <c r="F106" s="14" t="s">
        <v>45</v>
      </c>
      <c r="G106" s="14" t="s">
        <v>164</v>
      </c>
      <c r="H106" s="13" t="s">
        <v>165</v>
      </c>
      <c r="I106" s="13" t="s">
        <v>172</v>
      </c>
      <c r="J106" s="15" t="n">
        <v>600</v>
      </c>
      <c r="K106" s="14" t="s">
        <v>167</v>
      </c>
      <c r="L106" s="16" t="n">
        <v>17.4</v>
      </c>
      <c r="M106" s="16" t="n">
        <v>19.7</v>
      </c>
      <c r="N106" s="16" t="n">
        <v>23.2</v>
      </c>
      <c r="O106" s="17" t="n">
        <f aca="false">L106+M106+N106</f>
        <v>60.3</v>
      </c>
      <c r="P106" s="18" t="n">
        <f aca="false">IF(O106=0,"",L106/O106)</f>
        <v>0.288557213930348</v>
      </c>
      <c r="Q106" s="13" t="s">
        <v>168</v>
      </c>
    </row>
    <row r="107" customFormat="false" ht="15" hidden="false" customHeight="false" outlineLevel="0" collapsed="false">
      <c r="A107" s="13" t="s">
        <v>124</v>
      </c>
      <c r="B107" s="10" t="s">
        <v>103</v>
      </c>
      <c r="C107" s="13" t="s">
        <v>18</v>
      </c>
      <c r="D107" s="13" t="s">
        <v>10</v>
      </c>
      <c r="E107" s="13" t="s">
        <v>148</v>
      </c>
      <c r="F107" s="14" t="s">
        <v>55</v>
      </c>
      <c r="G107" s="14" t="s">
        <v>149</v>
      </c>
      <c r="H107" s="13" t="s">
        <v>150</v>
      </c>
      <c r="I107" s="13" t="s">
        <v>173</v>
      </c>
      <c r="J107" s="19" t="n">
        <v>577.8</v>
      </c>
      <c r="K107" s="14" t="s">
        <v>49</v>
      </c>
      <c r="L107" s="16" t="n">
        <v>12.5</v>
      </c>
      <c r="M107" s="16" t="n">
        <v>11.4</v>
      </c>
      <c r="N107" s="16" t="n">
        <v>6.4</v>
      </c>
      <c r="O107" s="17" t="n">
        <f aca="false">L107+M107+N107</f>
        <v>30.3</v>
      </c>
      <c r="P107" s="18" t="n">
        <f aca="false">IF(O107=0,"",L107/O107)</f>
        <v>0.412541254125413</v>
      </c>
      <c r="Q107" s="13" t="s">
        <v>50</v>
      </c>
    </row>
    <row r="108" customFormat="false" ht="15" hidden="false" customHeight="false" outlineLevel="0" collapsed="false">
      <c r="A108" s="13" t="s">
        <v>124</v>
      </c>
      <c r="B108" s="10" t="s">
        <v>103</v>
      </c>
      <c r="C108" s="13" t="s">
        <v>18</v>
      </c>
      <c r="D108" s="13" t="s">
        <v>10</v>
      </c>
      <c r="E108" s="13" t="s">
        <v>148</v>
      </c>
      <c r="F108" s="14" t="s">
        <v>55</v>
      </c>
      <c r="G108" s="14" t="s">
        <v>149</v>
      </c>
      <c r="H108" s="13" t="s">
        <v>150</v>
      </c>
      <c r="I108" s="13" t="s">
        <v>174</v>
      </c>
      <c r="J108" s="15" t="n">
        <v>600</v>
      </c>
      <c r="K108" s="14" t="s">
        <v>49</v>
      </c>
      <c r="L108" s="16" t="n">
        <v>22.1</v>
      </c>
      <c r="M108" s="16" t="n">
        <v>6.2</v>
      </c>
      <c r="N108" s="16" t="n">
        <v>6.5</v>
      </c>
      <c r="O108" s="17" t="n">
        <f aca="false">L108+M108+N108</f>
        <v>34.8</v>
      </c>
      <c r="P108" s="18" t="n">
        <f aca="false">IF(O108=0,"",L108/O108)</f>
        <v>0.635057471264368</v>
      </c>
      <c r="Q108" s="13" t="s">
        <v>50</v>
      </c>
    </row>
    <row r="109" customFormat="false" ht="15" hidden="false" customHeight="false" outlineLevel="0" collapsed="false">
      <c r="A109" s="13" t="s">
        <v>124</v>
      </c>
      <c r="B109" s="10" t="s">
        <v>103</v>
      </c>
      <c r="C109" s="13" t="s">
        <v>18</v>
      </c>
      <c r="D109" s="13" t="s">
        <v>10</v>
      </c>
      <c r="E109" s="13" t="s">
        <v>148</v>
      </c>
      <c r="F109" s="14" t="s">
        <v>55</v>
      </c>
      <c r="G109" s="14" t="s">
        <v>149</v>
      </c>
      <c r="H109" s="13" t="s">
        <v>150</v>
      </c>
      <c r="I109" s="13" t="s">
        <v>175</v>
      </c>
      <c r="J109" s="15" t="n">
        <v>600</v>
      </c>
      <c r="K109" s="14" t="s">
        <v>49</v>
      </c>
      <c r="L109" s="16" t="n">
        <v>15.6</v>
      </c>
      <c r="M109" s="16" t="n">
        <v>7.8</v>
      </c>
      <c r="N109" s="16" t="n">
        <v>12</v>
      </c>
      <c r="O109" s="17" t="n">
        <f aca="false">L109+M109+N109</f>
        <v>35.4</v>
      </c>
      <c r="P109" s="18" t="n">
        <f aca="false">IF(O109=0,"",L109/O109)</f>
        <v>0.440677966101695</v>
      </c>
      <c r="Q109" s="13" t="s">
        <v>50</v>
      </c>
    </row>
    <row r="110" customFormat="false" ht="15" hidden="false" customHeight="false" outlineLevel="0" collapsed="false">
      <c r="A110" s="13" t="s">
        <v>124</v>
      </c>
      <c r="B110" s="10" t="s">
        <v>103</v>
      </c>
      <c r="C110" s="13" t="s">
        <v>18</v>
      </c>
      <c r="D110" s="13" t="s">
        <v>10</v>
      </c>
      <c r="E110" s="13" t="s">
        <v>148</v>
      </c>
      <c r="F110" s="14" t="s">
        <v>62</v>
      </c>
      <c r="G110" s="14" t="s">
        <v>154</v>
      </c>
      <c r="H110" s="13" t="s">
        <v>155</v>
      </c>
      <c r="I110" s="13" t="s">
        <v>176</v>
      </c>
      <c r="J110" s="15" t="n">
        <v>600</v>
      </c>
      <c r="K110" s="14" t="s">
        <v>49</v>
      </c>
      <c r="L110" s="16" t="n">
        <v>3.9</v>
      </c>
      <c r="M110" s="16" t="n">
        <v>6.3</v>
      </c>
      <c r="N110" s="16" t="n">
        <v>16</v>
      </c>
      <c r="O110" s="17" t="n">
        <f aca="false">L110+M110+N110</f>
        <v>26.2</v>
      </c>
      <c r="P110" s="18" t="n">
        <f aca="false">IF(O110=0,"",L110/O110)</f>
        <v>0.148854961832061</v>
      </c>
      <c r="Q110" s="13" t="s">
        <v>50</v>
      </c>
    </row>
    <row r="111" customFormat="false" ht="15" hidden="false" customHeight="false" outlineLevel="0" collapsed="false">
      <c r="A111" s="13" t="s">
        <v>124</v>
      </c>
      <c r="B111" s="10" t="s">
        <v>103</v>
      </c>
      <c r="C111" s="13" t="s">
        <v>18</v>
      </c>
      <c r="D111" s="13" t="s">
        <v>10</v>
      </c>
      <c r="E111" s="13" t="s">
        <v>148</v>
      </c>
      <c r="F111" s="14" t="s">
        <v>62</v>
      </c>
      <c r="G111" s="14" t="s">
        <v>154</v>
      </c>
      <c r="H111" s="13" t="s">
        <v>155</v>
      </c>
      <c r="I111" s="13" t="s">
        <v>177</v>
      </c>
      <c r="J111" s="15" t="n">
        <v>600</v>
      </c>
      <c r="K111" s="14" t="s">
        <v>49</v>
      </c>
      <c r="L111" s="16" t="n">
        <v>13.2</v>
      </c>
      <c r="M111" s="16" t="n">
        <v>24.1</v>
      </c>
      <c r="N111" s="16" t="n">
        <v>47.1</v>
      </c>
      <c r="O111" s="17" t="n">
        <f aca="false">L111+M111+N111</f>
        <v>84.4</v>
      </c>
      <c r="P111" s="18" t="n">
        <f aca="false">IF(O111=0,"",L111/O111)</f>
        <v>0.156398104265403</v>
      </c>
      <c r="Q111" s="13" t="s">
        <v>50</v>
      </c>
    </row>
    <row r="112" customFormat="false" ht="15" hidden="false" customHeight="false" outlineLevel="0" collapsed="false">
      <c r="A112" s="13" t="s">
        <v>124</v>
      </c>
      <c r="B112" s="10" t="s">
        <v>103</v>
      </c>
      <c r="C112" s="13" t="s">
        <v>18</v>
      </c>
      <c r="D112" s="13" t="s">
        <v>11</v>
      </c>
      <c r="E112" s="13" t="s">
        <v>163</v>
      </c>
      <c r="F112" s="14" t="s">
        <v>45</v>
      </c>
      <c r="G112" s="14" t="s">
        <v>164</v>
      </c>
      <c r="H112" s="13" t="s">
        <v>165</v>
      </c>
      <c r="I112" s="13" t="s">
        <v>178</v>
      </c>
      <c r="J112" s="15" t="n">
        <v>600</v>
      </c>
      <c r="K112" s="14" t="s">
        <v>179</v>
      </c>
      <c r="L112" s="16" t="n">
        <v>22</v>
      </c>
      <c r="M112" s="16" t="n">
        <v>15.8</v>
      </c>
      <c r="N112" s="16" t="n">
        <v>18.4</v>
      </c>
      <c r="O112" s="17" t="n">
        <f aca="false">L112+M112+N112</f>
        <v>56.2</v>
      </c>
      <c r="P112" s="18" t="n">
        <f aca="false">IF(O112=0,"",L112/O112)</f>
        <v>0.391459074733096</v>
      </c>
      <c r="Q112" s="13" t="s">
        <v>180</v>
      </c>
    </row>
    <row r="113" customFormat="false" ht="15" hidden="false" customHeight="false" outlineLevel="0" collapsed="false">
      <c r="A113" s="13" t="s">
        <v>124</v>
      </c>
      <c r="B113" s="10" t="s">
        <v>103</v>
      </c>
      <c r="C113" s="13" t="s">
        <v>18</v>
      </c>
      <c r="D113" s="13" t="s">
        <v>11</v>
      </c>
      <c r="E113" s="13" t="s">
        <v>163</v>
      </c>
      <c r="F113" s="14" t="s">
        <v>45</v>
      </c>
      <c r="G113" s="14" t="s">
        <v>164</v>
      </c>
      <c r="H113" s="13" t="s">
        <v>165</v>
      </c>
      <c r="I113" s="13" t="s">
        <v>181</v>
      </c>
      <c r="J113" s="15" t="n">
        <v>600</v>
      </c>
      <c r="K113" s="14" t="s">
        <v>179</v>
      </c>
      <c r="L113" s="16" t="n">
        <v>28.9</v>
      </c>
      <c r="M113" s="16" t="n">
        <v>24.6</v>
      </c>
      <c r="N113" s="16" t="n">
        <v>21.3</v>
      </c>
      <c r="O113" s="17" t="n">
        <f aca="false">L113+M113+N113</f>
        <v>74.8</v>
      </c>
      <c r="P113" s="18" t="n">
        <f aca="false">IF(O113=0,"",L113/O113)</f>
        <v>0.386363636363636</v>
      </c>
      <c r="Q113" s="13" t="s">
        <v>180</v>
      </c>
    </row>
    <row r="114" customFormat="false" ht="15" hidden="false" customHeight="false" outlineLevel="0" collapsed="false">
      <c r="A114" s="13" t="s">
        <v>124</v>
      </c>
      <c r="B114" s="10" t="s">
        <v>103</v>
      </c>
      <c r="C114" s="13" t="s">
        <v>18</v>
      </c>
      <c r="D114" s="13" t="s">
        <v>11</v>
      </c>
      <c r="E114" s="13" t="s">
        <v>163</v>
      </c>
      <c r="F114" s="14" t="s">
        <v>45</v>
      </c>
      <c r="G114" s="14" t="s">
        <v>164</v>
      </c>
      <c r="H114" s="13" t="s">
        <v>165</v>
      </c>
      <c r="I114" s="13" t="s">
        <v>182</v>
      </c>
      <c r="J114" s="15" t="n">
        <v>600</v>
      </c>
      <c r="K114" s="14" t="s">
        <v>179</v>
      </c>
      <c r="L114" s="16" t="n">
        <v>39.5</v>
      </c>
      <c r="M114" s="16" t="n">
        <v>35.5</v>
      </c>
      <c r="N114" s="16" t="n">
        <v>24.7</v>
      </c>
      <c r="O114" s="17" t="n">
        <f aca="false">L114+M114+N114</f>
        <v>99.7</v>
      </c>
      <c r="P114" s="18" t="n">
        <f aca="false">IF(O114=0,"",L114/O114)</f>
        <v>0.396188565697091</v>
      </c>
      <c r="Q114" s="13" t="s">
        <v>180</v>
      </c>
    </row>
    <row r="115" customFormat="false" ht="15" hidden="false" customHeight="false" outlineLevel="0" collapsed="false">
      <c r="A115" s="13" t="s">
        <v>124</v>
      </c>
      <c r="B115" s="10" t="s">
        <v>103</v>
      </c>
      <c r="C115" s="13" t="s">
        <v>18</v>
      </c>
      <c r="D115" s="13" t="s">
        <v>11</v>
      </c>
      <c r="E115" s="13" t="s">
        <v>163</v>
      </c>
      <c r="F115" s="14" t="s">
        <v>45</v>
      </c>
      <c r="G115" s="14" t="s">
        <v>164</v>
      </c>
      <c r="H115" s="13" t="s">
        <v>165</v>
      </c>
      <c r="I115" s="13" t="s">
        <v>183</v>
      </c>
      <c r="J115" s="15" t="n">
        <v>600</v>
      </c>
      <c r="K115" s="14" t="s">
        <v>179</v>
      </c>
      <c r="L115" s="16" t="n">
        <v>14.8</v>
      </c>
      <c r="M115" s="16" t="n">
        <v>37.6</v>
      </c>
      <c r="N115" s="16" t="n">
        <v>26.7</v>
      </c>
      <c r="O115" s="17" t="n">
        <f aca="false">L115+M115+N115</f>
        <v>79.1</v>
      </c>
      <c r="P115" s="18" t="n">
        <f aca="false">IF(O115=0,"",L115/O115)</f>
        <v>0.187104930467762</v>
      </c>
      <c r="Q115" s="13" t="s">
        <v>180</v>
      </c>
    </row>
    <row r="116" customFormat="false" ht="15" hidden="false" customHeight="false" outlineLevel="0" collapsed="false">
      <c r="A116" s="13" t="s">
        <v>124</v>
      </c>
      <c r="B116" s="10" t="s">
        <v>103</v>
      </c>
      <c r="C116" s="13" t="s">
        <v>18</v>
      </c>
      <c r="D116" s="13" t="s">
        <v>11</v>
      </c>
      <c r="E116" s="13" t="s">
        <v>163</v>
      </c>
      <c r="F116" s="14" t="s">
        <v>45</v>
      </c>
      <c r="G116" s="14" t="s">
        <v>164</v>
      </c>
      <c r="H116" s="13" t="s">
        <v>165</v>
      </c>
      <c r="I116" s="13" t="s">
        <v>184</v>
      </c>
      <c r="J116" s="15" t="n">
        <v>600</v>
      </c>
      <c r="K116" s="14" t="s">
        <v>179</v>
      </c>
      <c r="L116" s="16" t="n">
        <v>12.2</v>
      </c>
      <c r="M116" s="16" t="n">
        <v>17.1</v>
      </c>
      <c r="N116" s="16" t="n">
        <v>21.2</v>
      </c>
      <c r="O116" s="17" t="n">
        <f aca="false">L116+M116+N116</f>
        <v>50.5</v>
      </c>
      <c r="P116" s="18" t="n">
        <f aca="false">IF(O116=0,"",L116/O116)</f>
        <v>0.241584158415842</v>
      </c>
      <c r="Q116" s="13" t="s">
        <v>180</v>
      </c>
    </row>
    <row r="117" customFormat="false" ht="15" hidden="false" customHeight="false" outlineLevel="0" collapsed="false">
      <c r="A117" s="13" t="s">
        <v>124</v>
      </c>
      <c r="B117" s="10" t="s">
        <v>103</v>
      </c>
      <c r="C117" s="13" t="s">
        <v>18</v>
      </c>
      <c r="D117" s="13" t="s">
        <v>11</v>
      </c>
      <c r="E117" s="13" t="s">
        <v>148</v>
      </c>
      <c r="F117" s="14" t="s">
        <v>62</v>
      </c>
      <c r="G117" s="14" t="s">
        <v>154</v>
      </c>
      <c r="H117" s="13" t="s">
        <v>155</v>
      </c>
      <c r="I117" s="13" t="s">
        <v>185</v>
      </c>
      <c r="J117" s="15" t="n">
        <v>600</v>
      </c>
      <c r="K117" s="14" t="s">
        <v>49</v>
      </c>
      <c r="L117" s="16" t="n">
        <v>8.5</v>
      </c>
      <c r="M117" s="16" t="n">
        <v>8.7</v>
      </c>
      <c r="N117" s="16" t="n">
        <v>12.4</v>
      </c>
      <c r="O117" s="17" t="n">
        <f aca="false">L117+M117+N117</f>
        <v>29.6</v>
      </c>
      <c r="P117" s="18" t="n">
        <f aca="false">IF(O117=0,"",L117/O117)</f>
        <v>0.287162162162162</v>
      </c>
      <c r="Q117" s="13" t="s">
        <v>50</v>
      </c>
    </row>
    <row r="118" customFormat="false" ht="15" hidden="false" customHeight="false" outlineLevel="0" collapsed="false">
      <c r="A118" s="13" t="s">
        <v>124</v>
      </c>
      <c r="B118" s="10" t="s">
        <v>103</v>
      </c>
      <c r="C118" s="13" t="s">
        <v>18</v>
      </c>
      <c r="D118" s="13" t="s">
        <v>11</v>
      </c>
      <c r="E118" s="13" t="s">
        <v>148</v>
      </c>
      <c r="F118" s="14" t="s">
        <v>62</v>
      </c>
      <c r="G118" s="14" t="s">
        <v>154</v>
      </c>
      <c r="H118" s="13" t="s">
        <v>155</v>
      </c>
      <c r="I118" s="13" t="s">
        <v>186</v>
      </c>
      <c r="J118" s="15" t="n">
        <v>600</v>
      </c>
      <c r="K118" s="14" t="s">
        <v>49</v>
      </c>
      <c r="L118" s="16" t="n">
        <v>18.2</v>
      </c>
      <c r="M118" s="16" t="n">
        <v>9</v>
      </c>
      <c r="N118" s="16" t="n">
        <v>15.6</v>
      </c>
      <c r="O118" s="17" t="n">
        <f aca="false">L118+M118+N118</f>
        <v>42.8</v>
      </c>
      <c r="P118" s="18" t="n">
        <f aca="false">IF(O118=0,"",L118/O118)</f>
        <v>0.425233644859813</v>
      </c>
      <c r="Q118" s="13" t="s">
        <v>50</v>
      </c>
    </row>
    <row r="119" customFormat="false" ht="15" hidden="false" customHeight="false" outlineLevel="0" collapsed="false">
      <c r="A119" s="13" t="s">
        <v>124</v>
      </c>
      <c r="B119" s="10" t="s">
        <v>103</v>
      </c>
      <c r="C119" s="13" t="s">
        <v>18</v>
      </c>
      <c r="D119" s="13" t="s">
        <v>11</v>
      </c>
      <c r="E119" s="13" t="s">
        <v>148</v>
      </c>
      <c r="F119" s="14" t="s">
        <v>62</v>
      </c>
      <c r="G119" s="14" t="s">
        <v>154</v>
      </c>
      <c r="H119" s="13" t="s">
        <v>155</v>
      </c>
      <c r="I119" s="13" t="s">
        <v>187</v>
      </c>
      <c r="J119" s="15" t="n">
        <v>600</v>
      </c>
      <c r="K119" s="14" t="s">
        <v>49</v>
      </c>
      <c r="L119" s="16" t="n">
        <v>12.6</v>
      </c>
      <c r="M119" s="16" t="n">
        <v>4.9</v>
      </c>
      <c r="N119" s="16" t="n">
        <v>7.2</v>
      </c>
      <c r="O119" s="17" t="n">
        <f aca="false">L119+M119+N119</f>
        <v>24.7</v>
      </c>
      <c r="P119" s="18" t="n">
        <f aca="false">IF(O119=0,"",L119/O119)</f>
        <v>0.510121457489879</v>
      </c>
      <c r="Q119" s="13" t="s">
        <v>50</v>
      </c>
    </row>
    <row r="120" customFormat="false" ht="15" hidden="false" customHeight="false" outlineLevel="0" collapsed="false">
      <c r="A120" s="13" t="s">
        <v>124</v>
      </c>
      <c r="B120" s="10" t="s">
        <v>103</v>
      </c>
      <c r="C120" s="13" t="s">
        <v>18</v>
      </c>
      <c r="D120" s="13" t="s">
        <v>11</v>
      </c>
      <c r="E120" s="13" t="s">
        <v>148</v>
      </c>
      <c r="F120" s="14" t="s">
        <v>55</v>
      </c>
      <c r="G120" s="14" t="s">
        <v>149</v>
      </c>
      <c r="H120" s="13" t="s">
        <v>150</v>
      </c>
      <c r="I120" s="13" t="s">
        <v>188</v>
      </c>
      <c r="J120" s="15" t="n">
        <v>600</v>
      </c>
      <c r="K120" s="14" t="s">
        <v>49</v>
      </c>
      <c r="L120" s="16" t="n">
        <v>16.1</v>
      </c>
      <c r="M120" s="16" t="n">
        <v>5.6</v>
      </c>
      <c r="N120" s="16" t="n">
        <v>6</v>
      </c>
      <c r="O120" s="17" t="n">
        <f aca="false">L120+M120+N120</f>
        <v>27.7</v>
      </c>
      <c r="P120" s="18" t="n">
        <f aca="false">IF(O120=0,"",L120/O120)</f>
        <v>0.581227436823105</v>
      </c>
      <c r="Q120" s="13" t="s">
        <v>50</v>
      </c>
    </row>
    <row r="121" customFormat="false" ht="15" hidden="false" customHeight="false" outlineLevel="0" collapsed="false">
      <c r="A121" s="13" t="s">
        <v>124</v>
      </c>
      <c r="B121" s="10" t="s">
        <v>103</v>
      </c>
      <c r="C121" s="13" t="s">
        <v>18</v>
      </c>
      <c r="D121" s="13" t="s">
        <v>11</v>
      </c>
      <c r="E121" s="13" t="s">
        <v>148</v>
      </c>
      <c r="F121" s="14" t="s">
        <v>55</v>
      </c>
      <c r="G121" s="14" t="s">
        <v>149</v>
      </c>
      <c r="H121" s="13" t="s">
        <v>150</v>
      </c>
      <c r="I121" s="13" t="s">
        <v>189</v>
      </c>
      <c r="J121" s="15" t="n">
        <v>600</v>
      </c>
      <c r="K121" s="14" t="s">
        <v>49</v>
      </c>
      <c r="L121" s="16" t="n">
        <v>27.3</v>
      </c>
      <c r="M121" s="16" t="n">
        <v>23.8</v>
      </c>
      <c r="N121" s="16" t="n">
        <v>18.2</v>
      </c>
      <c r="O121" s="17" t="n">
        <f aca="false">L121+M121+N121</f>
        <v>69.3</v>
      </c>
      <c r="P121" s="18" t="n">
        <f aca="false">IF(O121=0,"",L121/O121)</f>
        <v>0.393939393939394</v>
      </c>
      <c r="Q121" s="13" t="s">
        <v>50</v>
      </c>
    </row>
    <row r="123" customFormat="false" ht="15" hidden="false" customHeight="false" outlineLevel="0" collapsed="false">
      <c r="A123" s="11" t="s">
        <v>190</v>
      </c>
    </row>
    <row r="124" customFormat="false" ht="15" hidden="false" customHeight="false" outlineLevel="0" collapsed="false">
      <c r="A124" s="11" t="s">
        <v>191</v>
      </c>
    </row>
    <row r="125" customFormat="false" ht="15" hidden="false" customHeight="false" outlineLevel="0" collapsed="false">
      <c r="A125" s="11" t="s">
        <v>192</v>
      </c>
    </row>
  </sheetData>
  <autoFilter ref="A4:Q121"/>
  <mergeCells count="1"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6.1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11" t="s">
        <v>194</v>
      </c>
    </row>
    <row r="4" customFormat="false" ht="15" hidden="false" customHeight="false" outlineLevel="0" collapsed="false">
      <c r="A4" s="20" t="s">
        <v>195</v>
      </c>
    </row>
    <row r="5" customFormat="false" ht="15" hidden="false" customHeight="false" outlineLevel="0" collapsed="false">
      <c r="A5" s="21" t="s">
        <v>13</v>
      </c>
      <c r="B5" s="22" t="s">
        <v>14</v>
      </c>
      <c r="C5" s="23" t="s">
        <v>15</v>
      </c>
      <c r="D5" s="21" t="s">
        <v>16</v>
      </c>
      <c r="E5" s="22" t="s">
        <v>17</v>
      </c>
      <c r="F5" s="23" t="s">
        <v>18</v>
      </c>
    </row>
    <row r="6" customFormat="false" ht="15" hidden="false" customHeight="false" outlineLevel="0" collapsed="false">
      <c r="A6" s="16" t="n">
        <f aca="false">'Datos por animal'!O5</f>
        <v>45.6</v>
      </c>
      <c r="B6" s="16" t="n">
        <f aca="false">'Datos por animal'!O24</f>
        <v>47.7</v>
      </c>
      <c r="C6" s="16" t="n">
        <f aca="false">'Datos por animal'!O42</f>
        <v>22.8</v>
      </c>
      <c r="D6" s="16" t="n">
        <f aca="false">'Datos por animal'!O62</f>
        <v>24.5</v>
      </c>
      <c r="E6" s="16" t="n">
        <f aca="false">'Datos por animal'!O82</f>
        <v>42.6</v>
      </c>
      <c r="F6" s="16" t="n">
        <f aca="false">'Datos por animal'!O102</f>
        <v>81.1</v>
      </c>
    </row>
    <row r="7" customFormat="false" ht="15" hidden="false" customHeight="false" outlineLevel="0" collapsed="false">
      <c r="A7" s="16" t="n">
        <f aca="false">'Datos por animal'!O6</f>
        <v>54.3</v>
      </c>
      <c r="B7" s="16" t="n">
        <f aca="false">'Datos por animal'!O25</f>
        <v>77.6</v>
      </c>
      <c r="C7" s="16" t="n">
        <f aca="false">'Datos por animal'!O43</f>
        <v>19</v>
      </c>
      <c r="D7" s="16" t="n">
        <f aca="false">'Datos por animal'!O63</f>
        <v>44.3</v>
      </c>
      <c r="E7" s="16" t="n">
        <f aca="false">'Datos por animal'!O83</f>
        <v>29</v>
      </c>
      <c r="F7" s="16" t="n">
        <f aca="false">'Datos por animal'!O103</f>
        <v>49.7</v>
      </c>
    </row>
    <row r="8" customFormat="false" ht="15" hidden="false" customHeight="false" outlineLevel="0" collapsed="false">
      <c r="A8" s="16" t="n">
        <f aca="false">'Datos por animal'!O7</f>
        <v>26.9</v>
      </c>
      <c r="B8" s="16" t="n">
        <f aca="false">'Datos por animal'!O26</f>
        <v>70.1</v>
      </c>
      <c r="C8" s="16" t="n">
        <f aca="false">'Datos por animal'!O44</f>
        <v>24.4</v>
      </c>
      <c r="D8" s="16" t="n">
        <f aca="false">'Datos por animal'!O64</f>
        <v>59.8</v>
      </c>
      <c r="E8" s="16" t="n">
        <f aca="false">'Datos por animal'!O84</f>
        <v>42.2</v>
      </c>
      <c r="F8" s="16" t="n">
        <f aca="false">'Datos por animal'!O104</f>
        <v>101.3</v>
      </c>
    </row>
    <row r="9" customFormat="false" ht="15" hidden="false" customHeight="false" outlineLevel="0" collapsed="false">
      <c r="A9" s="16" t="n">
        <f aca="false">'Datos por animal'!O8</f>
        <v>25.3</v>
      </c>
      <c r="B9" s="16" t="n">
        <f aca="false">'Datos por animal'!O27</f>
        <v>39.7</v>
      </c>
      <c r="C9" s="16" t="n">
        <f aca="false">'Datos por animal'!O45</f>
        <v>34.9</v>
      </c>
      <c r="D9" s="16" t="n">
        <f aca="false">'Datos por animal'!O65</f>
        <v>67.9</v>
      </c>
      <c r="E9" s="16" t="n">
        <f aca="false">'Datos por animal'!O85</f>
        <v>24.3</v>
      </c>
      <c r="F9" s="16" t="n">
        <f aca="false">'Datos por animal'!O105</f>
        <v>57.2</v>
      </c>
    </row>
    <row r="10" customFormat="false" ht="15" hidden="false" customHeight="false" outlineLevel="0" collapsed="false">
      <c r="A10" s="16" t="n">
        <f aca="false">'Datos por animal'!O9</f>
        <v>33.8</v>
      </c>
      <c r="B10" s="16" t="n">
        <f aca="false">'Datos por animal'!O28</f>
        <v>51.6</v>
      </c>
      <c r="C10" s="16" t="n">
        <f aca="false">'Datos por animal'!O46</f>
        <v>29.5</v>
      </c>
      <c r="D10" s="16" t="n">
        <f aca="false">'Datos por animal'!O66</f>
        <v>72.1</v>
      </c>
      <c r="E10" s="16" t="n">
        <f aca="false">'Datos por animal'!O86</f>
        <v>38.3</v>
      </c>
      <c r="F10" s="16" t="n">
        <f aca="false">'Datos por animal'!O106</f>
        <v>60.3</v>
      </c>
    </row>
    <row r="11" customFormat="false" ht="15" hidden="false" customHeight="false" outlineLevel="0" collapsed="false">
      <c r="A11" s="16" t="n">
        <f aca="false">'Datos por animal'!O10</f>
        <v>30.6</v>
      </c>
      <c r="B11" s="16" t="n">
        <f aca="false">'Datos por animal'!O29</f>
        <v>60.5</v>
      </c>
      <c r="C11" s="16" t="n">
        <f aca="false">'Datos por animal'!O47</f>
        <v>70</v>
      </c>
      <c r="D11" s="16" t="n">
        <f aca="false">'Datos por animal'!O67</f>
        <v>38</v>
      </c>
      <c r="E11" s="16" t="n">
        <f aca="false">'Datos por animal'!O87</f>
        <v>26.9</v>
      </c>
      <c r="F11" s="16" t="n">
        <f aca="false">'Datos por animal'!O107</f>
        <v>30.3</v>
      </c>
    </row>
    <row r="12" customFormat="false" ht="15" hidden="false" customHeight="false" outlineLevel="0" collapsed="false">
      <c r="A12" s="16" t="n">
        <f aca="false">'Datos por animal'!O11</f>
        <v>31.1</v>
      </c>
      <c r="B12" s="16" t="n">
        <f aca="false">'Datos por animal'!O30</f>
        <v>56.9</v>
      </c>
      <c r="C12" s="16" t="n">
        <f aca="false">'Datos por animal'!O48</f>
        <v>73.4</v>
      </c>
      <c r="D12" s="16" t="n">
        <f aca="false">'Datos por animal'!O68</f>
        <v>54.3</v>
      </c>
      <c r="E12" s="16" t="n">
        <f aca="false">'Datos por animal'!O88</f>
        <v>38</v>
      </c>
      <c r="F12" s="16" t="n">
        <f aca="false">'Datos por animal'!O108</f>
        <v>34.8</v>
      </c>
    </row>
    <row r="13" customFormat="false" ht="15" hidden="false" customHeight="false" outlineLevel="0" collapsed="false">
      <c r="A13" s="16" t="n">
        <f aca="false">'Datos por animal'!O12</f>
        <v>6.6</v>
      </c>
      <c r="B13" s="16" t="n">
        <f aca="false">'Datos por animal'!O31</f>
        <v>30.9</v>
      </c>
      <c r="C13" s="16" t="n">
        <f aca="false">'Datos por animal'!O49</f>
        <v>96.4</v>
      </c>
      <c r="D13" s="16" t="n">
        <f aca="false">'Datos por animal'!O69</f>
        <v>25.9</v>
      </c>
      <c r="E13" s="16" t="n">
        <f aca="false">'Datos por animal'!O89</f>
        <v>35.5</v>
      </c>
      <c r="F13" s="16" t="n">
        <f aca="false">'Datos por animal'!O109</f>
        <v>35.4</v>
      </c>
    </row>
    <row r="14" customFormat="false" ht="15" hidden="false" customHeight="false" outlineLevel="0" collapsed="false">
      <c r="A14" s="16" t="n">
        <f aca="false">'Datos por animal'!O13</f>
        <v>21.5</v>
      </c>
      <c r="B14" s="16" t="n">
        <f aca="false">'Datos por animal'!O32</f>
        <v>21.5</v>
      </c>
      <c r="C14" s="16" t="n">
        <f aca="false">'Datos por animal'!O50</f>
        <v>26.9</v>
      </c>
      <c r="D14" s="16" t="n">
        <f aca="false">'Datos por animal'!O70</f>
        <v>23.9</v>
      </c>
      <c r="E14" s="16" t="n">
        <f aca="false">'Datos por animal'!O90</f>
        <v>55.9</v>
      </c>
      <c r="F14" s="16" t="n">
        <f aca="false">'Datos por animal'!O110</f>
        <v>26.2</v>
      </c>
    </row>
    <row r="15" customFormat="false" ht="15" hidden="false" customHeight="false" outlineLevel="0" collapsed="false">
      <c r="C15" s="16" t="n">
        <f aca="false">'Datos por animal'!O51</f>
        <v>37</v>
      </c>
      <c r="D15" s="16" t="n">
        <f aca="false">'Datos por animal'!O71</f>
        <v>18.1</v>
      </c>
      <c r="E15" s="16" t="n">
        <f aca="false">'Datos por animal'!O91</f>
        <v>39.1</v>
      </c>
      <c r="F15" s="16" t="n">
        <f aca="false">'Datos por animal'!O111</f>
        <v>84.4</v>
      </c>
    </row>
    <row r="18" customFormat="false" ht="15" hidden="false" customHeight="false" outlineLevel="0" collapsed="false">
      <c r="A18" s="20" t="s">
        <v>196</v>
      </c>
    </row>
    <row r="19" customFormat="false" ht="15" hidden="false" customHeight="false" outlineLevel="0" collapsed="false">
      <c r="A19" s="21" t="s">
        <v>13</v>
      </c>
      <c r="B19" s="22" t="s">
        <v>14</v>
      </c>
      <c r="C19" s="23" t="s">
        <v>15</v>
      </c>
      <c r="D19" s="21" t="s">
        <v>16</v>
      </c>
      <c r="E19" s="22" t="s">
        <v>17</v>
      </c>
      <c r="F19" s="23" t="s">
        <v>18</v>
      </c>
    </row>
    <row r="20" customFormat="false" ht="15" hidden="false" customHeight="false" outlineLevel="0" collapsed="false">
      <c r="A20" s="16" t="n">
        <f aca="false">'Datos por animal'!O14</f>
        <v>37.6</v>
      </c>
      <c r="B20" s="16" t="n">
        <f aca="false">'Datos por animal'!O33</f>
        <v>71.2</v>
      </c>
      <c r="C20" s="16" t="n">
        <f aca="false">'Datos por animal'!O52</f>
        <v>28.3</v>
      </c>
      <c r="D20" s="16" t="n">
        <f aca="false">'Datos por animal'!O72</f>
        <v>37.9</v>
      </c>
      <c r="E20" s="16" t="n">
        <f aca="false">'Datos por animal'!O92</f>
        <v>34.6</v>
      </c>
      <c r="F20" s="16" t="n">
        <f aca="false">'Datos por animal'!O112</f>
        <v>56.2</v>
      </c>
    </row>
    <row r="21" customFormat="false" ht="15" hidden="false" customHeight="false" outlineLevel="0" collapsed="false">
      <c r="A21" s="16" t="n">
        <f aca="false">'Datos por animal'!O15</f>
        <v>36.5</v>
      </c>
      <c r="B21" s="16" t="n">
        <f aca="false">'Datos por animal'!O34</f>
        <v>43.1</v>
      </c>
      <c r="C21" s="16" t="n">
        <f aca="false">'Datos por animal'!O53</f>
        <v>50.2</v>
      </c>
      <c r="D21" s="16" t="n">
        <f aca="false">'Datos por animal'!O73</f>
        <v>44.4</v>
      </c>
      <c r="E21" s="16" t="n">
        <f aca="false">'Datos por animal'!O93</f>
        <v>27.1</v>
      </c>
      <c r="F21" s="16" t="n">
        <f aca="false">'Datos por animal'!O113</f>
        <v>74.8</v>
      </c>
    </row>
    <row r="22" customFormat="false" ht="15" hidden="false" customHeight="false" outlineLevel="0" collapsed="false">
      <c r="A22" s="16" t="n">
        <f aca="false">'Datos por animal'!O16</f>
        <v>22.8</v>
      </c>
      <c r="B22" s="16" t="n">
        <f aca="false">'Datos por animal'!O35</f>
        <v>63.1</v>
      </c>
      <c r="C22" s="16" t="n">
        <f aca="false">'Datos por animal'!O54</f>
        <v>36.5</v>
      </c>
      <c r="D22" s="16" t="n">
        <f aca="false">'Datos por animal'!O74</f>
        <v>30.1</v>
      </c>
      <c r="E22" s="16" t="n">
        <f aca="false">'Datos por animal'!O94</f>
        <v>53</v>
      </c>
      <c r="F22" s="16" t="n">
        <f aca="false">'Datos por animal'!O114</f>
        <v>99.7</v>
      </c>
    </row>
    <row r="23" customFormat="false" ht="15" hidden="false" customHeight="false" outlineLevel="0" collapsed="false">
      <c r="A23" s="16" t="n">
        <f aca="false">'Datos por animal'!O17</f>
        <v>35.3</v>
      </c>
      <c r="B23" s="16" t="n">
        <f aca="false">'Datos por animal'!O36</f>
        <v>59.4</v>
      </c>
      <c r="C23" s="16" t="n">
        <f aca="false">'Datos por animal'!O55</f>
        <v>28</v>
      </c>
      <c r="D23" s="16" t="n">
        <f aca="false">'Datos por animal'!O75</f>
        <v>26</v>
      </c>
      <c r="E23" s="16" t="n">
        <f aca="false">'Datos por animal'!O95</f>
        <v>34.8</v>
      </c>
      <c r="F23" s="16" t="n">
        <f aca="false">'Datos por animal'!O115</f>
        <v>79.1</v>
      </c>
    </row>
    <row r="24" customFormat="false" ht="15" hidden="false" customHeight="false" outlineLevel="0" collapsed="false">
      <c r="A24" s="16" t="n">
        <f aca="false">'Datos por animal'!O18</f>
        <v>28.9</v>
      </c>
      <c r="B24" s="16" t="n">
        <f aca="false">'Datos por animal'!O37</f>
        <v>52.5</v>
      </c>
      <c r="C24" s="16" t="n">
        <f aca="false">'Datos por animal'!O56</f>
        <v>22.7</v>
      </c>
      <c r="D24" s="16" t="n">
        <f aca="false">'Datos por animal'!O76</f>
        <v>35.7</v>
      </c>
      <c r="E24" s="16" t="n">
        <f aca="false">'Datos por animal'!O96</f>
        <v>26.1</v>
      </c>
      <c r="F24" s="16" t="n">
        <f aca="false">'Datos por animal'!O116</f>
        <v>50.5</v>
      </c>
    </row>
    <row r="25" customFormat="false" ht="15" hidden="false" customHeight="false" outlineLevel="0" collapsed="false">
      <c r="A25" s="16" t="n">
        <f aca="false">'Datos por animal'!O19</f>
        <v>49.3</v>
      </c>
      <c r="B25" s="16" t="n">
        <f aca="false">'Datos por animal'!O38</f>
        <v>43.5</v>
      </c>
      <c r="C25" s="16" t="n">
        <f aca="false">'Datos por animal'!O57</f>
        <v>16.4</v>
      </c>
      <c r="D25" s="16" t="n">
        <f aca="false">'Datos por animal'!O77</f>
        <v>17.9</v>
      </c>
      <c r="E25" s="16" t="n">
        <f aca="false">'Datos por animal'!O97</f>
        <v>33.5</v>
      </c>
      <c r="F25" s="16" t="n">
        <f aca="false">'Datos por animal'!O117</f>
        <v>29.6</v>
      </c>
    </row>
    <row r="26" customFormat="false" ht="15" hidden="false" customHeight="false" outlineLevel="0" collapsed="false">
      <c r="A26" s="16" t="n">
        <f aca="false">'Datos por animal'!O20</f>
        <v>31.2</v>
      </c>
      <c r="B26" s="16" t="n">
        <f aca="false">'Datos por animal'!O39</f>
        <v>46.8</v>
      </c>
      <c r="C26" s="16" t="n">
        <f aca="false">'Datos por animal'!O58</f>
        <v>17.5</v>
      </c>
      <c r="D26" s="16" t="n">
        <f aca="false">'Datos por animal'!O78</f>
        <v>16.1</v>
      </c>
      <c r="E26" s="16" t="n">
        <f aca="false">'Datos por animal'!O98</f>
        <v>31.3</v>
      </c>
      <c r="F26" s="16" t="n">
        <f aca="false">'Datos por animal'!O118</f>
        <v>42.8</v>
      </c>
    </row>
    <row r="27" customFormat="false" ht="15" hidden="false" customHeight="false" outlineLevel="0" collapsed="false">
      <c r="A27" s="16" t="n">
        <f aca="false">'Datos por animal'!O21</f>
        <v>26</v>
      </c>
      <c r="B27" s="16" t="n">
        <f aca="false">'Datos por animal'!O40</f>
        <v>74.5</v>
      </c>
      <c r="C27" s="16" t="n">
        <f aca="false">'Datos por animal'!O59</f>
        <v>64.4</v>
      </c>
      <c r="D27" s="16" t="n">
        <f aca="false">'Datos por animal'!O79</f>
        <v>20.9</v>
      </c>
      <c r="E27" s="16" t="n">
        <f aca="false">'Datos por animal'!O99</f>
        <v>50.8</v>
      </c>
      <c r="F27" s="16" t="n">
        <f aca="false">'Datos por animal'!O119</f>
        <v>24.7</v>
      </c>
    </row>
    <row r="28" customFormat="false" ht="15" hidden="false" customHeight="false" outlineLevel="0" collapsed="false">
      <c r="A28" s="16" t="n">
        <f aca="false">'Datos por animal'!O22</f>
        <v>26.6</v>
      </c>
      <c r="B28" s="16" t="n">
        <f aca="false">'Datos por animal'!O41</f>
        <v>69.9</v>
      </c>
      <c r="C28" s="16" t="n">
        <f aca="false">'Datos por animal'!O60</f>
        <v>52.4</v>
      </c>
      <c r="D28" s="16" t="n">
        <f aca="false">'Datos por animal'!O80</f>
        <v>27.1</v>
      </c>
      <c r="E28" s="16" t="n">
        <f aca="false">'Datos por animal'!O100</f>
        <v>44.4</v>
      </c>
      <c r="F28" s="16" t="n">
        <f aca="false">'Datos por animal'!O120</f>
        <v>27.7</v>
      </c>
    </row>
    <row r="29" customFormat="false" ht="15" hidden="false" customHeight="false" outlineLevel="0" collapsed="false">
      <c r="A29" s="16" t="n">
        <f aca="false">'Datos por animal'!O23</f>
        <v>11.8</v>
      </c>
      <c r="C29" s="16" t="n">
        <f aca="false">'Datos por animal'!O61</f>
        <v>83.2</v>
      </c>
      <c r="D29" s="16" t="n">
        <f aca="false">'Datos por animal'!O81</f>
        <v>49.3</v>
      </c>
      <c r="E29" s="16" t="n">
        <f aca="false">'Datos por animal'!O101</f>
        <v>42.1</v>
      </c>
      <c r="F29" s="16" t="n">
        <f aca="false">'Datos por animal'!O121</f>
        <v>69.3</v>
      </c>
    </row>
    <row r="32" customFormat="false" ht="15" hidden="false" customHeight="false" outlineLevel="0" collapsed="false">
      <c r="A32" s="20" t="s">
        <v>197</v>
      </c>
    </row>
    <row r="33" customFormat="false" ht="15" hidden="false" customHeight="false" outlineLevel="0" collapsed="false">
      <c r="A33" s="21" t="s">
        <v>13</v>
      </c>
      <c r="B33" s="22" t="s">
        <v>14</v>
      </c>
      <c r="C33" s="23" t="s">
        <v>15</v>
      </c>
      <c r="D33" s="21" t="s">
        <v>16</v>
      </c>
      <c r="E33" s="22" t="s">
        <v>17</v>
      </c>
      <c r="F33" s="23" t="s">
        <v>18</v>
      </c>
    </row>
    <row r="34" customFormat="false" ht="15" hidden="false" customHeight="false" outlineLevel="0" collapsed="false">
      <c r="A34" s="24" t="n">
        <f aca="false">'Datos por animal'!P5</f>
        <v>0.18859649122807</v>
      </c>
      <c r="B34" s="24" t="n">
        <f aca="false">'Datos por animal'!P24</f>
        <v>0.255765199161426</v>
      </c>
      <c r="C34" s="24" t="n">
        <f aca="false">'Datos por animal'!P42</f>
        <v>0.223684210526316</v>
      </c>
      <c r="D34" s="24" t="n">
        <f aca="false">'Datos por animal'!P62</f>
        <v>0.273469387755102</v>
      </c>
      <c r="E34" s="24" t="n">
        <f aca="false">'Datos por animal'!P82</f>
        <v>0.422535211267606</v>
      </c>
      <c r="F34" s="24" t="n">
        <f aca="false">'Datos por animal'!P102</f>
        <v>0.361282367447596</v>
      </c>
    </row>
    <row r="35" customFormat="false" ht="15" hidden="false" customHeight="false" outlineLevel="0" collapsed="false">
      <c r="A35" s="24" t="n">
        <f aca="false">'Datos por animal'!P6</f>
        <v>0.198895027624309</v>
      </c>
      <c r="B35" s="24" t="n">
        <f aca="false">'Datos por animal'!P25</f>
        <v>0.43298969072165</v>
      </c>
      <c r="C35" s="24" t="n">
        <f aca="false">'Datos por animal'!P43</f>
        <v>0.384210526315789</v>
      </c>
      <c r="D35" s="24" t="n">
        <f aca="false">'Datos por animal'!P63</f>
        <v>0.586907449209932</v>
      </c>
      <c r="E35" s="24" t="n">
        <f aca="false">'Datos por animal'!P83</f>
        <v>0.206896551724138</v>
      </c>
      <c r="F35" s="24" t="n">
        <f aca="false">'Datos por animal'!P103</f>
        <v>0.261569416498994</v>
      </c>
    </row>
    <row r="36" customFormat="false" ht="15" hidden="false" customHeight="false" outlineLevel="0" collapsed="false">
      <c r="A36" s="24" t="n">
        <f aca="false">'Datos por animal'!P7</f>
        <v>0.267657992565056</v>
      </c>
      <c r="B36" s="24" t="n">
        <f aca="false">'Datos por animal'!P26</f>
        <v>0.390870185449358</v>
      </c>
      <c r="C36" s="24" t="n">
        <f aca="false">'Datos por animal'!P44</f>
        <v>0.168032786885246</v>
      </c>
      <c r="D36" s="24" t="n">
        <f aca="false">'Datos por animal'!P64</f>
        <v>0.520066889632107</v>
      </c>
      <c r="E36" s="24" t="n">
        <f aca="false">'Datos por animal'!P84</f>
        <v>0.123222748815166</v>
      </c>
      <c r="F36" s="24" t="n">
        <f aca="false">'Datos por animal'!P104</f>
        <v>0.249753208292201</v>
      </c>
    </row>
    <row r="37" customFormat="false" ht="15" hidden="false" customHeight="false" outlineLevel="0" collapsed="false">
      <c r="A37" s="24" t="n">
        <f aca="false">'Datos por animal'!P8</f>
        <v>0.509881422924901</v>
      </c>
      <c r="B37" s="24" t="n">
        <f aca="false">'Datos por animal'!P27</f>
        <v>0.423173803526448</v>
      </c>
      <c r="C37" s="24" t="n">
        <f aca="false">'Datos por animal'!P45</f>
        <v>0.386819484240688</v>
      </c>
      <c r="D37" s="24" t="n">
        <f aca="false">'Datos por animal'!P65</f>
        <v>0.281296023564065</v>
      </c>
      <c r="E37" s="24" t="n">
        <f aca="false">'Datos por animal'!P85</f>
        <v>0.493827160493827</v>
      </c>
      <c r="F37" s="24" t="n">
        <f aca="false">'Datos por animal'!P105</f>
        <v>0.442307692307692</v>
      </c>
    </row>
    <row r="38" customFormat="false" ht="15" hidden="false" customHeight="false" outlineLevel="0" collapsed="false">
      <c r="A38" s="24" t="n">
        <f aca="false">'Datos por animal'!P9</f>
        <v>0.378698224852071</v>
      </c>
      <c r="B38" s="24" t="n">
        <f aca="false">'Datos por animal'!P28</f>
        <v>0.377906976744186</v>
      </c>
      <c r="C38" s="24" t="n">
        <f aca="false">'Datos por animal'!P46</f>
        <v>0.355932203389831</v>
      </c>
      <c r="D38" s="24" t="n">
        <f aca="false">'Datos por animal'!P66</f>
        <v>0.300970873786408</v>
      </c>
      <c r="E38" s="24" t="n">
        <f aca="false">'Datos por animal'!P86</f>
        <v>0.407310704960836</v>
      </c>
      <c r="F38" s="24" t="n">
        <f aca="false">'Datos por animal'!P106</f>
        <v>0.288557213930348</v>
      </c>
    </row>
    <row r="39" customFormat="false" ht="15" hidden="false" customHeight="false" outlineLevel="0" collapsed="false">
      <c r="A39" s="24" t="n">
        <f aca="false">'Datos por animal'!P10</f>
        <v>0.156862745098039</v>
      </c>
      <c r="B39" s="24" t="n">
        <f aca="false">'Datos por animal'!P29</f>
        <v>0.355371900826446</v>
      </c>
      <c r="C39" s="24" t="n">
        <f aca="false">'Datos por animal'!P47</f>
        <v>0.282857142857143</v>
      </c>
      <c r="D39" s="24" t="n">
        <f aca="false">'Datos por animal'!P67</f>
        <v>0.334210526315789</v>
      </c>
      <c r="E39" s="24" t="n">
        <f aca="false">'Datos por animal'!P87</f>
        <v>0.408921933085502</v>
      </c>
      <c r="F39" s="24" t="n">
        <f aca="false">'Datos por animal'!P107</f>
        <v>0.412541254125413</v>
      </c>
    </row>
    <row r="40" customFormat="false" ht="15" hidden="false" customHeight="false" outlineLevel="0" collapsed="false">
      <c r="A40" s="24" t="n">
        <f aca="false">'Datos por animal'!P11</f>
        <v>0.427652733118971</v>
      </c>
      <c r="B40" s="24" t="n">
        <f aca="false">'Datos por animal'!P30</f>
        <v>0.268892794376098</v>
      </c>
      <c r="C40" s="24" t="n">
        <f aca="false">'Datos por animal'!P48</f>
        <v>0.474114441416894</v>
      </c>
      <c r="D40" s="24" t="n">
        <f aca="false">'Datos por animal'!P68</f>
        <v>0.550644567219153</v>
      </c>
      <c r="E40" s="24" t="n">
        <f aca="false">'Datos por animal'!P88</f>
        <v>0.523684210526316</v>
      </c>
      <c r="F40" s="24" t="n">
        <f aca="false">'Datos por animal'!P108</f>
        <v>0.635057471264368</v>
      </c>
    </row>
    <row r="41" customFormat="false" ht="15" hidden="false" customHeight="false" outlineLevel="0" collapsed="false">
      <c r="A41" s="24" t="n">
        <f aca="false">'Datos por animal'!P12</f>
        <v>0.515151515151515</v>
      </c>
      <c r="B41" s="24" t="n">
        <f aca="false">'Datos por animal'!P31</f>
        <v>0.407766990291262</v>
      </c>
      <c r="C41" s="24" t="n">
        <f aca="false">'Datos por animal'!P49</f>
        <v>0.454356846473029</v>
      </c>
      <c r="D41" s="24" t="n">
        <f aca="false">'Datos por animal'!P69</f>
        <v>0.293436293436293</v>
      </c>
      <c r="E41" s="24" t="n">
        <f aca="false">'Datos por animal'!P89</f>
        <v>0.233802816901408</v>
      </c>
      <c r="F41" s="24" t="n">
        <f aca="false">'Datos por animal'!P109</f>
        <v>0.440677966101695</v>
      </c>
    </row>
    <row r="42" customFormat="false" ht="15" hidden="false" customHeight="false" outlineLevel="0" collapsed="false">
      <c r="A42" s="24" t="n">
        <f aca="false">'Datos por animal'!P13</f>
        <v>0.223255813953488</v>
      </c>
      <c r="B42" s="24" t="n">
        <f aca="false">'Datos por animal'!P32</f>
        <v>0.0930232558139535</v>
      </c>
      <c r="C42" s="24" t="n">
        <f aca="false">'Datos por animal'!P50</f>
        <v>0.29368029739777</v>
      </c>
      <c r="D42" s="24" t="n">
        <f aca="false">'Datos por animal'!P70</f>
        <v>0.301255230125523</v>
      </c>
      <c r="E42" s="24" t="n">
        <f aca="false">'Datos por animal'!P90</f>
        <v>0.370304114490161</v>
      </c>
      <c r="F42" s="24" t="n">
        <f aca="false">'Datos por animal'!P110</f>
        <v>0.148854961832061</v>
      </c>
    </row>
    <row r="43" customFormat="false" ht="15" hidden="false" customHeight="false" outlineLevel="0" collapsed="false">
      <c r="C43" s="24" t="n">
        <f aca="false">'Datos por animal'!P51</f>
        <v>0.391891891891892</v>
      </c>
      <c r="D43" s="24" t="n">
        <f aca="false">'Datos por animal'!P71</f>
        <v>0.226519337016575</v>
      </c>
      <c r="E43" s="24" t="n">
        <f aca="false">'Datos por animal'!P91</f>
        <v>0.480818414322251</v>
      </c>
      <c r="F43" s="24" t="n">
        <f aca="false">'Datos por animal'!P111</f>
        <v>0.156398104265403</v>
      </c>
    </row>
    <row r="46" customFormat="false" ht="15" hidden="false" customHeight="false" outlineLevel="0" collapsed="false">
      <c r="A46" s="20" t="s">
        <v>198</v>
      </c>
    </row>
    <row r="47" customFormat="false" ht="15" hidden="false" customHeight="false" outlineLevel="0" collapsed="false">
      <c r="A47" s="21" t="s">
        <v>13</v>
      </c>
      <c r="B47" s="22" t="s">
        <v>14</v>
      </c>
      <c r="C47" s="23" t="s">
        <v>15</v>
      </c>
      <c r="D47" s="21" t="s">
        <v>16</v>
      </c>
      <c r="E47" s="22" t="s">
        <v>17</v>
      </c>
      <c r="F47" s="23" t="s">
        <v>18</v>
      </c>
    </row>
    <row r="48" customFormat="false" ht="15" hidden="false" customHeight="false" outlineLevel="0" collapsed="false">
      <c r="A48" s="24" t="n">
        <f aca="false">'Datos por animal'!P14</f>
        <v>0.5</v>
      </c>
      <c r="B48" s="24" t="n">
        <f aca="false">'Datos por animal'!P33</f>
        <v>0.445224719101124</v>
      </c>
      <c r="C48" s="24" t="n">
        <f aca="false">'Datos por animal'!P52</f>
        <v>0.409893992932862</v>
      </c>
      <c r="D48" s="24" t="n">
        <f aca="false">'Datos por animal'!P72</f>
        <v>0.245382585751979</v>
      </c>
      <c r="E48" s="24" t="n">
        <f aca="false">'Datos por animal'!P92</f>
        <v>0.225433526011561</v>
      </c>
      <c r="F48" s="24" t="n">
        <f aca="false">'Datos por animal'!P112</f>
        <v>0.391459074733096</v>
      </c>
    </row>
    <row r="49" customFormat="false" ht="15" hidden="false" customHeight="false" outlineLevel="0" collapsed="false">
      <c r="A49" s="24" t="n">
        <f aca="false">'Datos por animal'!P15</f>
        <v>0.342465753424658</v>
      </c>
      <c r="B49" s="24" t="n">
        <f aca="false">'Datos por animal'!P34</f>
        <v>0.529002320185615</v>
      </c>
      <c r="C49" s="24" t="n">
        <f aca="false">'Datos por animal'!P53</f>
        <v>0.296812749003984</v>
      </c>
      <c r="D49" s="24" t="n">
        <f aca="false">'Datos por animal'!P73</f>
        <v>0.693693693693694</v>
      </c>
      <c r="E49" s="24" t="n">
        <f aca="false">'Datos por animal'!P93</f>
        <v>0.512915129151291</v>
      </c>
      <c r="F49" s="24" t="n">
        <f aca="false">'Datos por animal'!P113</f>
        <v>0.386363636363636</v>
      </c>
    </row>
    <row r="50" customFormat="false" ht="15" hidden="false" customHeight="false" outlineLevel="0" collapsed="false">
      <c r="A50" s="24" t="n">
        <f aca="false">'Datos por animal'!P16</f>
        <v>0.219298245614035</v>
      </c>
      <c r="B50" s="24" t="n">
        <f aca="false">'Datos por animal'!P35</f>
        <v>0.445324881141046</v>
      </c>
      <c r="C50" s="24" t="n">
        <f aca="false">'Datos por animal'!P54</f>
        <v>0.372602739726027</v>
      </c>
      <c r="D50" s="24" t="n">
        <f aca="false">'Datos por animal'!P74</f>
        <v>0.524916943521595</v>
      </c>
      <c r="E50" s="24" t="n">
        <f aca="false">'Datos por animal'!P94</f>
        <v>0.420754716981132</v>
      </c>
      <c r="F50" s="24" t="n">
        <f aca="false">'Datos por animal'!P114</f>
        <v>0.396188565697091</v>
      </c>
    </row>
    <row r="51" customFormat="false" ht="15" hidden="false" customHeight="false" outlineLevel="0" collapsed="false">
      <c r="A51" s="24" t="n">
        <f aca="false">'Datos por animal'!P17</f>
        <v>0.334277620396601</v>
      </c>
      <c r="B51" s="24" t="n">
        <f aca="false">'Datos por animal'!P36</f>
        <v>0.361952861952862</v>
      </c>
      <c r="C51" s="24" t="n">
        <f aca="false">'Datos por animal'!P55</f>
        <v>0.396428571428571</v>
      </c>
      <c r="D51" s="24" t="n">
        <f aca="false">'Datos por animal'!P75</f>
        <v>0.492307692307692</v>
      </c>
      <c r="E51" s="24" t="n">
        <f aca="false">'Datos por animal'!P95</f>
        <v>0.563218390804598</v>
      </c>
      <c r="F51" s="24" t="n">
        <f aca="false">'Datos por animal'!P115</f>
        <v>0.187104930467762</v>
      </c>
    </row>
    <row r="52" customFormat="false" ht="15" hidden="false" customHeight="false" outlineLevel="0" collapsed="false">
      <c r="A52" s="24" t="n">
        <f aca="false">'Datos por animal'!P18</f>
        <v>0.238754325259516</v>
      </c>
      <c r="B52" s="24" t="n">
        <f aca="false">'Datos por animal'!P37</f>
        <v>0.268571428571429</v>
      </c>
      <c r="C52" s="24" t="n">
        <f aca="false">'Datos por animal'!P56</f>
        <v>0.726872246696035</v>
      </c>
      <c r="D52" s="24" t="n">
        <f aca="false">'Datos por animal'!P76</f>
        <v>0.473389355742297</v>
      </c>
      <c r="E52" s="24" t="n">
        <f aca="false">'Datos por animal'!P96</f>
        <v>0.471264367816092</v>
      </c>
      <c r="F52" s="24" t="n">
        <f aca="false">'Datos por animal'!P116</f>
        <v>0.241584158415842</v>
      </c>
    </row>
    <row r="53" customFormat="false" ht="15" hidden="false" customHeight="false" outlineLevel="0" collapsed="false">
      <c r="A53" s="24" t="n">
        <f aca="false">'Datos por animal'!P19</f>
        <v>0.628803245436106</v>
      </c>
      <c r="B53" s="24" t="n">
        <f aca="false">'Datos por animal'!P38</f>
        <v>0.317241379310345</v>
      </c>
      <c r="C53" s="24" t="n">
        <f aca="false">'Datos por animal'!P57</f>
        <v>0.378048780487805</v>
      </c>
      <c r="D53" s="24" t="n">
        <f aca="false">'Datos por animal'!P77</f>
        <v>0.385474860335196</v>
      </c>
      <c r="E53" s="24" t="n">
        <f aca="false">'Datos por animal'!P97</f>
        <v>0.426865671641791</v>
      </c>
      <c r="F53" s="24" t="n">
        <f aca="false">'Datos por animal'!P117</f>
        <v>0.287162162162162</v>
      </c>
    </row>
    <row r="54" customFormat="false" ht="15" hidden="false" customHeight="false" outlineLevel="0" collapsed="false">
      <c r="A54" s="24" t="n">
        <f aca="false">'Datos por animal'!P20</f>
        <v>0.352564102564103</v>
      </c>
      <c r="B54" s="24" t="n">
        <f aca="false">'Datos por animal'!P39</f>
        <v>0.155982905982906</v>
      </c>
      <c r="C54" s="24" t="n">
        <f aca="false">'Datos por animal'!P58</f>
        <v>0.411428571428571</v>
      </c>
      <c r="D54" s="24" t="n">
        <f aca="false">'Datos por animal'!P78</f>
        <v>0.422360248447205</v>
      </c>
      <c r="E54" s="24" t="n">
        <f aca="false">'Datos por animal'!P98</f>
        <v>0.460063897763578</v>
      </c>
      <c r="F54" s="24" t="n">
        <f aca="false">'Datos por animal'!P118</f>
        <v>0.425233644859813</v>
      </c>
    </row>
    <row r="55" customFormat="false" ht="15" hidden="false" customHeight="false" outlineLevel="0" collapsed="false">
      <c r="A55" s="24" t="n">
        <f aca="false">'Datos por animal'!P21</f>
        <v>0.388461538461538</v>
      </c>
      <c r="B55" s="24" t="n">
        <f aca="false">'Datos por animal'!P40</f>
        <v>0.386577181208054</v>
      </c>
      <c r="C55" s="24" t="n">
        <f aca="false">'Datos por animal'!P59</f>
        <v>0.21583850931677</v>
      </c>
      <c r="D55" s="24" t="n">
        <f aca="false">'Datos por animal'!P79</f>
        <v>0.483253588516746</v>
      </c>
      <c r="E55" s="24" t="n">
        <f aca="false">'Datos por animal'!P99</f>
        <v>0.773622047244094</v>
      </c>
      <c r="F55" s="24" t="n">
        <f aca="false">'Datos por animal'!P119</f>
        <v>0.510121457489879</v>
      </c>
    </row>
    <row r="56" customFormat="false" ht="15" hidden="false" customHeight="false" outlineLevel="0" collapsed="false">
      <c r="A56" s="24" t="n">
        <f aca="false">'Datos por animal'!P22</f>
        <v>0.135338345864662</v>
      </c>
      <c r="B56" s="24" t="n">
        <f aca="false">'Datos por animal'!P41</f>
        <v>0.277539341917024</v>
      </c>
      <c r="C56" s="24" t="n">
        <f aca="false">'Datos por animal'!P60</f>
        <v>0.360687022900763</v>
      </c>
      <c r="D56" s="24" t="n">
        <f aca="false">'Datos por animal'!P80</f>
        <v>0.420664206642066</v>
      </c>
      <c r="E56" s="24" t="n">
        <f aca="false">'Datos por animal'!P100</f>
        <v>0.493243243243243</v>
      </c>
      <c r="F56" s="24" t="n">
        <f aca="false">'Datos por animal'!P120</f>
        <v>0.581227436823105</v>
      </c>
    </row>
    <row r="57" customFormat="false" ht="15" hidden="false" customHeight="false" outlineLevel="0" collapsed="false">
      <c r="A57" s="24" t="n">
        <f aca="false">'Datos por animal'!P23</f>
        <v>0.161016949152542</v>
      </c>
      <c r="C57" s="24" t="n">
        <f aca="false">'Datos por animal'!P61</f>
        <v>0.378605769230769</v>
      </c>
      <c r="D57" s="24" t="n">
        <f aca="false">'Datos por animal'!P81</f>
        <v>0.371196754563895</v>
      </c>
      <c r="E57" s="24" t="n">
        <f aca="false">'Datos por animal'!P101</f>
        <v>0.432304038004751</v>
      </c>
      <c r="F57" s="24" t="n">
        <f aca="false">'Datos por animal'!P121</f>
        <v>0.393939393939394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2026-10-13T14:33:54Z</dcterms:created>
  <dc:creator>openpyxl</dc:creator>
  <dc:description/>
  <dc:language>en-US</dc:language>
  <cp:lastModifiedBy/>
  <dcterms:modified xsi:type="dcterms:W3CDTF">2026-10-13T14:33:54Z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